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F:\60-Days-Placement-Sprint\"/>
    </mc:Choice>
  </mc:AlternateContent>
  <xr:revisionPtr revIDLastSave="0" documentId="13_ncr:1_{CF48D970-7E37-4628-A688-0A9491FCD4BC}" xr6:coauthVersionLast="47" xr6:coauthVersionMax="47" xr10:uidLastSave="{00000000-0000-0000-0000-000000000000}"/>
  <bookViews>
    <workbookView xWindow="28680" yWindow="1635" windowWidth="29040" windowHeight="16440" activeTab="2" xr2:uid="{00000000-000D-0000-FFFF-FFFF00000000}"/>
  </bookViews>
  <sheets>
    <sheet name="Dashboard" sheetId="1" r:id="rId1"/>
    <sheet name="Daily Tracker" sheetId="2" r:id="rId2"/>
    <sheet name="Practice Log" sheetId="3" r:id="rId3"/>
    <sheet name="Skills &amp; Project" sheetId="4" r:id="rId4"/>
    <sheet name="Roadma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 i="1" l="1"/>
  <c r="B31" i="1"/>
  <c r="B30" i="1"/>
  <c r="B29" i="1"/>
  <c r="B28" i="1"/>
  <c r="C15" i="1"/>
  <c r="C14" i="1"/>
  <c r="C13" i="1"/>
  <c r="C12" i="1"/>
  <c r="E8" i="1"/>
  <c r="B8" i="1"/>
  <c r="H7" i="1"/>
  <c r="E7" i="1"/>
  <c r="B7" i="1"/>
  <c r="H6" i="1"/>
  <c r="E6" i="1"/>
  <c r="B6" i="1"/>
  <c r="H5" i="1"/>
  <c r="E5" i="1"/>
  <c r="B14" i="1" l="1"/>
  <c r="B12" i="1"/>
  <c r="B15" i="1"/>
  <c r="B13" i="1"/>
</calcChain>
</file>

<file path=xl/sharedStrings.xml><?xml version="1.0" encoding="utf-8"?>
<sst xmlns="http://schemas.openxmlformats.org/spreadsheetml/2006/main" count="511" uniqueCount="237">
  <si>
    <t>GARVIT'S 60-DAY PLACEMENT SPRINT — CONTROL ROOM</t>
  </si>
  <si>
    <t>CONTROL</t>
  </si>
  <si>
    <t>VALUE</t>
  </si>
  <si>
    <t>WORK COMPLETED</t>
  </si>
  <si>
    <t>COUNT</t>
  </si>
  <si>
    <t>ROADMAP</t>
  </si>
  <si>
    <t>STATUS</t>
  </si>
  <si>
    <t>Current Day (edit this)</t>
  </si>
  <si>
    <t>DSA Questions</t>
  </si>
  <si>
    <t>Current Phase</t>
  </si>
  <si>
    <t>Days Completed</t>
  </si>
  <si>
    <t>SQL Challenges</t>
  </si>
  <si>
    <t>Days Remaining</t>
  </si>
  <si>
    <t>Actual Study Hours</t>
  </si>
  <si>
    <t>Skill / Project Items</t>
  </si>
  <si>
    <t>Next Formal Audit</t>
  </si>
  <si>
    <t>Overall 60-Day Progress</t>
  </si>
  <si>
    <t>Revisions Due</t>
  </si>
  <si>
    <t>Freeze Status</t>
  </si>
  <si>
    <t>Track</t>
  </si>
  <si>
    <t>Completed</t>
  </si>
  <si>
    <t>In Progress</t>
  </si>
  <si>
    <t>DSA</t>
  </si>
  <si>
    <t>SQL</t>
  </si>
  <si>
    <t>Skills / Project</t>
  </si>
  <si>
    <t>Days</t>
  </si>
  <si>
    <t>TODAY'S FOCUS — PULLED FROM DAILY TRACKER</t>
  </si>
  <si>
    <t>Data / ML</t>
  </si>
  <si>
    <t>SQL / Core CS</t>
  </si>
  <si>
    <t>Project / Career</t>
  </si>
  <si>
    <t>HOW TO USE THIS — ONLY 5 MINUTES PER DAY</t>
  </si>
  <si>
    <t>1) Morning: change Current Day in B5 and fill today's four targets in Daily Tracker.
2) After every DSA/SQL question: add one row in Practice Log; do not rely on chat memory.
3) After every video/core-CS/project session: add one row in Skills &amp; Project.
4) Night: enter Actual Hours, Day Status, Biggest Win, Blocker and Tomorrow's First Task.
5) Sunday: filter Next Revision Day &lt;= Current Day, re-solve without notes, increase Revision Count, and set the next revision day.</t>
  </si>
  <si>
    <t>DAILY EXECUTION TRACKER — UPDATE ONCE AT NIGHT</t>
  </si>
  <si>
    <t>Day</t>
  </si>
  <si>
    <t>Date</t>
  </si>
  <si>
    <t>Phase</t>
  </si>
  <si>
    <t>DSA Target</t>
  </si>
  <si>
    <t>Data / ML Target</t>
  </si>
  <si>
    <t>SQL / Core CS Target</t>
  </si>
  <si>
    <t>Project / Career Target</t>
  </si>
  <si>
    <t>Planned Hours</t>
  </si>
  <si>
    <t>Actual Hours</t>
  </si>
  <si>
    <t>Day Status</t>
  </si>
  <si>
    <t>Biggest Win</t>
  </si>
  <si>
    <t>Blocker / Question</t>
  </si>
  <si>
    <t>Tomorrow's First Task</t>
  </si>
  <si>
    <t>Phase 1</t>
  </si>
  <si>
    <t>Two Sum</t>
  </si>
  <si>
    <t>Anaconda/Jupyter setup</t>
  </si>
  <si>
    <t>Revising SELECT Query I &amp; II</t>
  </si>
  <si>
    <t>Git/GitHub setup and first push</t>
  </si>
  <si>
    <t>First green dot and working setup</t>
  </si>
  <si>
    <t>Start Day 2 arrays</t>
  </si>
  <si>
    <t>Sort Colors + Majority Element</t>
  </si>
  <si>
    <t>Pandas Videos 1 &amp; 2; code along in Jupyter</t>
  </si>
  <si>
    <t>Basic SELECT/STATION practice through Station 5</t>
  </si>
  <si>
    <t>Push notebooks/code; note key SQL lessons</t>
  </si>
  <si>
    <t>Finished two Pandas videos and learned Station 5 pattern</t>
  </si>
  <si>
    <t>Start stock problem and Pandas indexes</t>
  </si>
  <si>
    <t>Best Time to Buy and Sell Stock</t>
  </si>
  <si>
    <t>Pandas Video 3: Indexes</t>
  </si>
  <si>
    <t>Station 6 &amp; 7: LIKE / REGEXP</t>
  </si>
  <si>
    <t>Fix repository structure and .gitignore</t>
  </si>
  <si>
    <t>Complete remaining SQL and log revisions</t>
  </si>
  <si>
    <t>Not Started</t>
  </si>
  <si>
    <t>Phase 2</t>
  </si>
  <si>
    <t>Phase 3</t>
  </si>
  <si>
    <t>Phase 4</t>
  </si>
  <si>
    <t>DSA + SQL PRACTICE LOG — THIS IS YOUR SOURCE OF TRUTH</t>
  </si>
  <si>
    <t>Problem / Challenge</t>
  </si>
  <si>
    <t>Platform</t>
  </si>
  <si>
    <t>Topic / Pattern</t>
  </si>
  <si>
    <t>Difficulty</t>
  </si>
  <si>
    <t>Solved Independently?</t>
  </si>
  <si>
    <t>Status</t>
  </si>
  <si>
    <t>Alternative / Brute Understood?</t>
  </si>
  <si>
    <t>Optimal Approach Understood?</t>
  </si>
  <si>
    <t>Complexity / SQL Concept</t>
  </si>
  <si>
    <t>Confidence (1–5)</t>
  </si>
  <si>
    <t>Revision Count</t>
  </si>
  <si>
    <t>Next Revision Day</t>
  </si>
  <si>
    <t>Link</t>
  </si>
  <si>
    <t>Mistake / Key Insight</t>
  </si>
  <si>
    <t>LeetCode</t>
  </si>
  <si>
    <t>Hash Map</t>
  </si>
  <si>
    <t>Easy</t>
  </si>
  <si>
    <t>Yes</t>
  </si>
  <si>
    <t>O(n) time, O(n) space</t>
  </si>
  <si>
    <t>Store seen values; check target-current before inserting.</t>
  </si>
  <si>
    <t>Sort Colors</t>
  </si>
  <si>
    <t>Dutch National Flag / 3 pointers</t>
  </si>
  <si>
    <t>Medium</t>
  </si>
  <si>
    <t>O(n) time, O(1) space</t>
  </si>
  <si>
    <t>When nums[mid]==0, swap with low; both positions become resolved, so increment low and mid.</t>
  </si>
  <si>
    <t>Majority Element</t>
  </si>
  <si>
    <t>Hash Map / Boyer-Moore</t>
  </si>
  <si>
    <t>O(n) time; O(1) optimal space</t>
  </si>
  <si>
    <t>Candidate-vote logic is optimal; verify majority assumption.</t>
  </si>
  <si>
    <t>One-pass minimum tracking</t>
  </si>
  <si>
    <t>Track minimum so far; update max profit only when improvement occurs.</t>
  </si>
  <si>
    <t>Revising the Select Query I</t>
  </si>
  <si>
    <t>HackerRank</t>
  </si>
  <si>
    <t>SELECT + WHERE</t>
  </si>
  <si>
    <t>N/A</t>
  </si>
  <si>
    <t>Filtering rows with conditions</t>
  </si>
  <si>
    <t>Revising the Select Query II</t>
  </si>
  <si>
    <t>Selecting required columns</t>
  </si>
  <si>
    <t>Select All</t>
  </si>
  <si>
    <t>SELECT *</t>
  </si>
  <si>
    <t>Retrieve all columns</t>
  </si>
  <si>
    <t>Select By ID</t>
  </si>
  <si>
    <t>WHERE ID =</t>
  </si>
  <si>
    <t>Exact filtering</t>
  </si>
  <si>
    <t>Japanese Cities' Attributes</t>
  </si>
  <si>
    <t>WHERE COUNTRYCODE</t>
  </si>
  <si>
    <t>Country filtering</t>
  </si>
  <si>
    <t>Japanese Cities' Names</t>
  </si>
  <si>
    <t>Column selection + WHERE</t>
  </si>
  <si>
    <t>Return only NAME</t>
  </si>
  <si>
    <t>Weather Observation Station 1</t>
  </si>
  <si>
    <t>Column selection</t>
  </si>
  <si>
    <t>CITY and STATE columns</t>
  </si>
  <si>
    <t>Weather Observation Station 3</t>
  </si>
  <si>
    <t>Even IDs / dialect syntax</t>
  </si>
  <si>
    <t>Use MOD(ID,2)=0 in DB2</t>
  </si>
  <si>
    <t>SQL dialects differ; DB2 may reject %.</t>
  </si>
  <si>
    <t>Weather Observation Station 4</t>
  </si>
  <si>
    <t>COUNT and DISTINCT</t>
  </si>
  <si>
    <t>COUNT(CITY)-COUNT(DISTINCT CITY)</t>
  </si>
  <si>
    <t>Use one SELECT expression, not two SELECT statements.</t>
  </si>
  <si>
    <t>Weather Observation Station 5</t>
  </si>
  <si>
    <t>LENGTH + ORDER BY</t>
  </si>
  <si>
    <t>Sort by LENGTH(CITY), then CITY</t>
  </si>
  <si>
    <t>Alphabetical tie-breaker is required.</t>
  </si>
  <si>
    <t>Weather Observation Station 6</t>
  </si>
  <si>
    <t>LIKE / REGEXP</t>
  </si>
  <si>
    <t>Weather Observation Station 7</t>
  </si>
  <si>
    <t>SKILLS, CORE CS, PROJECT &amp; CAREER LOG</t>
  </si>
  <si>
    <t>Area</t>
  </si>
  <si>
    <t>Resource / Topic</t>
  </si>
  <si>
    <t>Output Created</t>
  </si>
  <si>
    <t>GitHub Pushed?</t>
  </si>
  <si>
    <t>Notes / Proof</t>
  </si>
  <si>
    <t>Setup</t>
  </si>
  <si>
    <t>Anaconda + Jupyter</t>
  </si>
  <si>
    <t>Working notebook environment</t>
  </si>
  <si>
    <t>Environment verified.</t>
  </si>
  <si>
    <t>Git/GitHub</t>
  </si>
  <si>
    <t>Repository initialization and first push</t>
  </si>
  <si>
    <t>60-day sprint repository</t>
  </si>
  <si>
    <t>First green dot completed.</t>
  </si>
  <si>
    <t>Pandas</t>
  </si>
  <si>
    <t>Corey Schafer Video 1: Getting Started</t>
  </si>
  <si>
    <t>Jupyter notebook</t>
  </si>
  <si>
    <t>Used Stack Overflow survey data.</t>
  </si>
  <si>
    <t>Corey Schafer Video 2: DataFrames &amp; Series</t>
  </si>
  <si>
    <t>Understood DataFrame/Series basics.</t>
  </si>
  <si>
    <t>Corey Schafer Video 3: Indexes</t>
  </si>
  <si>
    <t>Index practice notebook</t>
  </si>
  <si>
    <t>Repository structure + .gitignore</t>
  </si>
  <si>
    <t>Clean root repository</t>
  </si>
  <si>
    <t>Large survey CSV excluded from Git.</t>
  </si>
  <si>
    <t>DBMS</t>
  </si>
  <si>
    <t>Start DBMS basics</t>
  </si>
  <si>
    <t>Short notes + 5 interview questions</t>
  </si>
  <si>
    <t>Planned</t>
  </si>
  <si>
    <t>Week 2 core CS begins.</t>
  </si>
  <si>
    <t>Resume</t>
  </si>
  <si>
    <t>Resume Version 0</t>
  </si>
  <si>
    <t>One-page draft</t>
  </si>
  <si>
    <t>Do not wait for project completion to make first draft.</t>
  </si>
  <si>
    <t>Machine Learning</t>
  </si>
  <si>
    <t>Preprocessing + train/test split</t>
  </si>
  <si>
    <t>First ML notebook</t>
  </si>
  <si>
    <t>Project</t>
  </si>
  <si>
    <t>Streamlit dashboard + ML integration</t>
  </si>
  <si>
    <t>Working beta application</t>
  </si>
  <si>
    <t>Deployment</t>
  </si>
  <si>
    <t>Deploy and test project</t>
  </si>
  <si>
    <t>Live project link</t>
  </si>
  <si>
    <t>Mock Interview</t>
  </si>
  <si>
    <t>DSA + SQL + project mock</t>
  </si>
  <si>
    <t>Feedback sheet</t>
  </si>
  <si>
    <t>FINAL FROZEN 60-DAY PLACEMENT ROADMAP</t>
  </si>
  <si>
    <t>DSA Focus</t>
  </si>
  <si>
    <t>Data / ML Focus</t>
  </si>
  <si>
    <t>SQL &amp; Core CS Focus</t>
  </si>
  <si>
    <t>Career / Project Output</t>
  </si>
  <si>
    <t>Audit Day</t>
  </si>
  <si>
    <t>Rule</t>
  </si>
  <si>
    <t>1–14</t>
  </si>
  <si>
    <t>Arrays, Hashing, Two Pointers, Sliding Window, Binary Search basics</t>
  </si>
  <si>
    <t>NumPy &amp; Pandas foundations; cleaning; EDA</t>
  </si>
  <si>
    <t>SELECT, WHERE, GROUP BY, HAVING, Joins + DBMS basics</t>
  </si>
  <si>
    <t>Git routine + external tracker + Resume V0 by Day 10</t>
  </si>
  <si>
    <t>Do not add new tracks before audit</t>
  </si>
  <si>
    <t>15–30</t>
  </si>
  <si>
    <t>Linked Lists, Recursion, Stacks &amp; Queues</t>
  </si>
  <si>
    <t>Preprocessing, train/test split, regression &amp; classification</t>
  </si>
  <si>
    <t>Subqueries, CTEs + OOP</t>
  </si>
  <si>
    <t>First complete ML notebook and project plan</t>
  </si>
  <si>
    <t>Depth over question count</t>
  </si>
  <si>
    <t>31–45</t>
  </si>
  <si>
    <t>Binary Trees, BST, Heaps fundamentals</t>
  </si>
  <si>
    <t>Streamlit dashboard + real ML model integration</t>
  </si>
  <si>
    <t>Window functions + OS &amp; CN basics</t>
  </si>
  <si>
    <t>Deployed beta + README + Resume review</t>
  </si>
  <si>
    <t>One strong project, not many clones</t>
  </si>
  <si>
    <t>46–60</t>
  </si>
  <si>
    <t>Selected Greedy, foundational DP + heavy revision</t>
  </si>
  <si>
    <t>Deployment, testing, documentation</t>
  </si>
  <si>
    <t>Mocks, aptitude where needed, applications</t>
  </si>
  <si>
    <t>Final resume, GitHub, LinkedIn and mock interviews</t>
  </si>
  <si>
    <t>No random roadmap changes</t>
  </si>
  <si>
    <t>MEASURABLE END TARGETS</t>
  </si>
  <si>
    <t>80–110 quality questions with revision</t>
  </si>
  <si>
    <t>Through joins, CTEs, subqueries and window functions</t>
  </si>
  <si>
    <t>One deployed ML/data project with real evaluation</t>
  </si>
  <si>
    <t>Core CS</t>
  </si>
  <si>
    <t>DBMS, OOP, OS and CN basics</t>
  </si>
  <si>
    <t>Career</t>
  </si>
  <si>
    <t>Resume, GitHub, LinkedIn and mock interviews</t>
  </si>
  <si>
    <t>Tracking</t>
  </si>
  <si>
    <t>Update this workbook daily; chat is not the ledger</t>
  </si>
  <si>
    <t>FREEZE RULE: Follow this structure for 14 days. Only daily pacing may shift. Do not insert RAG, Power BI, cloud tools, extra courses or new career tracks unless an actual placement requirement demands it.</t>
  </si>
  <si>
    <t>With Hint</t>
  </si>
  <si>
    <t>CITY REGEXP '^[aeiou]'</t>
  </si>
  <si>
    <t>CITY REGEXP '[aeiou]$'</t>
  </si>
  <si>
    <t>Weather Observation Station 8</t>
  </si>
  <si>
    <t>Weather Observation Station 9</t>
  </si>
  <si>
    <t>Weather Observation Station 10</t>
  </si>
  <si>
    <t>CITY REGEXP '^[^aeiou]'</t>
  </si>
  <si>
    <t>CITY REGEXP '^[aeiou].*[aeiou]$'</t>
  </si>
  <si>
    <t>NOT CITY REGEXP '[aeiou]$'</t>
  </si>
  <si>
    <t>Repository fixed; one-pass stock price logic started learned regex</t>
  </si>
  <si>
    <t>Understood custom indexing, inplace=True, and loc/iloc index lookup optimizations</t>
  </si>
  <si>
    <t xml:space="preserve">to ab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</si>
</sst>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0"/>
    <numFmt numFmtId="166" formatCode="0.0%"/>
  </numFmts>
  <fonts count="8">
    <font>
      <sz val="11"/>
      <name val="Carlito"/>
    </font>
    <font>
      <b/>
      <sz val="18"/>
      <color rgb="FFFFFFFF"/>
      <name val="Carlito"/>
    </font>
    <font>
      <b/>
      <sz val="11"/>
      <color rgb="FFFFFFFF"/>
      <name val="Carlito"/>
    </font>
    <font>
      <b/>
      <sz val="12"/>
      <color rgb="FF17365D"/>
      <name val="Carlito"/>
    </font>
    <font>
      <b/>
      <sz val="11"/>
      <color rgb="FF17365D"/>
      <name val="Carlito"/>
    </font>
    <font>
      <b/>
      <sz val="11"/>
      <color rgb="FF7F6000"/>
      <name val="Carlito"/>
    </font>
    <font>
      <b/>
      <sz val="14"/>
      <color rgb="FF1F4E78"/>
      <name val="Carlito"/>
    </font>
    <font>
      <sz val="11"/>
      <color rgb="FF1F2937"/>
      <name val="Carlito"/>
    </font>
  </fonts>
  <fills count="9">
    <fill>
      <patternFill patternType="none"/>
    </fill>
    <fill>
      <patternFill patternType="gray125"/>
    </fill>
    <fill>
      <patternFill patternType="solid">
        <fgColor rgb="FF1F4E78"/>
      </patternFill>
    </fill>
    <fill>
      <patternFill patternType="solid">
        <fgColor rgb="FF2F75B5"/>
      </patternFill>
    </fill>
    <fill>
      <patternFill patternType="solid">
        <fgColor rgb="FFD9EAF7"/>
      </patternFill>
    </fill>
    <fill>
      <patternFill patternType="solid">
        <fgColor rgb="FFEAF2F8"/>
      </patternFill>
    </fill>
    <fill>
      <patternFill patternType="solid">
        <fgColor rgb="FFFFF2CC"/>
      </patternFill>
    </fill>
    <fill>
      <patternFill patternType="solid">
        <fgColor rgb="FFFFFFFF"/>
      </patternFill>
    </fill>
    <fill>
      <patternFill patternType="solid">
        <fgColor rgb="FFF3F7FA"/>
      </patternFill>
    </fill>
  </fills>
  <borders count="1">
    <border>
      <left/>
      <right/>
      <top/>
      <bottom/>
      <diagonal/>
    </border>
  </borders>
  <cellStyleXfs count="1">
    <xf numFmtId="0" fontId="0" fillId="0" borderId="0"/>
  </cellStyleXfs>
  <cellXfs count="16">
    <xf numFmtId="0" fontId="0" fillId="0" borderId="0" xfId="0"/>
    <xf numFmtId="0" fontId="2" fillId="3"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4" fillId="5" borderId="0" xfId="0" applyFont="1" applyFill="1" applyAlignment="1">
      <alignment vertical="center" wrapText="1"/>
    </xf>
    <xf numFmtId="164" fontId="0" fillId="0" borderId="0" xfId="0" applyNumberFormat="1" applyAlignment="1">
      <alignment vertical="top" wrapText="1"/>
    </xf>
    <xf numFmtId="165" fontId="0" fillId="0" borderId="0" xfId="0" applyNumberFormat="1" applyAlignment="1">
      <alignment vertical="top" wrapText="1"/>
    </xf>
    <xf numFmtId="0" fontId="4" fillId="5" borderId="0" xfId="0" applyFont="1" applyFill="1" applyAlignment="1">
      <alignment vertical="center"/>
    </xf>
    <xf numFmtId="0" fontId="6" fillId="7" borderId="0" xfId="0" applyFont="1" applyFill="1" applyAlignment="1">
      <alignment horizontal="center" vertical="center"/>
    </xf>
    <xf numFmtId="166" fontId="6" fillId="7" borderId="0" xfId="0" applyNumberFormat="1" applyFont="1" applyFill="1" applyAlignment="1">
      <alignment horizontal="center" vertical="center"/>
    </xf>
    <xf numFmtId="0" fontId="7" fillId="8" borderId="0" xfId="0" applyFont="1" applyFill="1" applyAlignment="1">
      <alignment vertical="center"/>
    </xf>
    <xf numFmtId="0" fontId="7" fillId="7" borderId="0" xfId="0" applyFont="1" applyFill="1" applyAlignment="1">
      <alignment vertical="center" wrapText="1"/>
    </xf>
    <xf numFmtId="0" fontId="3" fillId="4" borderId="0" xfId="0" applyFont="1" applyFill="1" applyAlignment="1">
      <alignment vertical="center"/>
    </xf>
    <xf numFmtId="0" fontId="7" fillId="8" borderId="0" xfId="0" applyFont="1" applyFill="1" applyAlignment="1">
      <alignment vertical="top" wrapText="1"/>
    </xf>
    <xf numFmtId="0" fontId="1" fillId="2" borderId="0" xfId="0" applyFont="1" applyFill="1" applyAlignment="1">
      <alignment horizontal="center" vertical="center"/>
    </xf>
    <xf numFmtId="0" fontId="5" fillId="6" borderId="0" xfId="0" applyFont="1" applyFill="1" applyAlignment="1">
      <alignment vertical="center" wrapText="1"/>
    </xf>
  </cellXfs>
  <cellStyles count="1">
    <cellStyle name="Normal" xfId="0" builtinId="0"/>
  </cellStyles>
  <dxfs count="7">
    <dxf>
      <font>
        <b/>
        <color rgb="FF9C0006"/>
      </font>
      <fill>
        <patternFill patternType="solid">
          <bgColor rgb="FFF4CCCC"/>
        </patternFill>
      </fill>
    </dxf>
    <dxf>
      <font>
        <b/>
        <color rgb="FF375623"/>
      </font>
      <fill>
        <patternFill patternType="solid">
          <bgColor rgb="FFE2F0D9"/>
        </patternFill>
      </fill>
    </dxf>
    <dxf>
      <font>
        <b/>
        <color rgb="FF9C0006"/>
      </font>
      <fill>
        <patternFill patternType="solid">
          <bgColor rgb="FFF4CCCC"/>
        </patternFill>
      </fill>
    </dxf>
    <dxf>
      <font>
        <b/>
        <color rgb="FF375623"/>
      </font>
      <fill>
        <patternFill patternType="solid">
          <bgColor rgb="FFE2F0D9"/>
        </patternFill>
      </fill>
    </dxf>
    <dxf>
      <font>
        <b/>
        <color rgb="FF9C0006"/>
      </font>
      <fill>
        <patternFill patternType="solid">
          <bgColor rgb="FFF4CCCC"/>
        </patternFill>
      </fill>
    </dxf>
    <dxf>
      <font>
        <b/>
        <color rgb="FF7F6000"/>
      </font>
      <fill>
        <patternFill patternType="solid">
          <bgColor rgb="FFFFF2CC"/>
        </patternFill>
      </fill>
    </dxf>
    <dxf>
      <font>
        <b/>
        <color rgb="FF375623"/>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Progress by Track</a:t>
            </a:r>
          </a:p>
        </c:rich>
      </c:tx>
      <c:overlay val="0"/>
    </c:title>
    <c:autoTitleDeleted val="0"/>
    <c:plotArea>
      <c:layout/>
      <c:barChart>
        <c:barDir val="col"/>
        <c:grouping val="clustered"/>
        <c:varyColors val="0"/>
        <c:ser>
          <c:idx val="0"/>
          <c:order val="0"/>
          <c:tx>
            <c:v>Completed</c:v>
          </c:tx>
          <c:invertIfNegative val="1"/>
          <c:cat>
            <c:strRef>
              <c:f>Dashboard!$A$12:$A$15</c:f>
              <c:strCache>
                <c:ptCount val="4"/>
                <c:pt idx="0">
                  <c:v>DSA</c:v>
                </c:pt>
                <c:pt idx="1">
                  <c:v>SQL</c:v>
                </c:pt>
                <c:pt idx="2">
                  <c:v>Skills / Project</c:v>
                </c:pt>
                <c:pt idx="3">
                  <c:v>Days</c:v>
                </c:pt>
              </c:strCache>
            </c:strRef>
          </c:cat>
          <c:val>
            <c:numRef>
              <c:f>Dashboard!$B$12:$B$15</c:f>
              <c:numCache>
                <c:formatCode>General</c:formatCode>
                <c:ptCount val="4"/>
                <c:pt idx="0">
                  <c:v>4</c:v>
                </c:pt>
                <c:pt idx="1">
                  <c:v>15</c:v>
                </c:pt>
                <c:pt idx="2">
                  <c:v>6</c:v>
                </c:pt>
                <c:pt idx="3">
                  <c:v>3</c:v>
                </c:pt>
              </c:numCache>
            </c:numRef>
          </c:val>
          <c:extLst>
            <c:ext xmlns:c16="http://schemas.microsoft.com/office/drawing/2014/chart" uri="{C3380CC4-5D6E-409C-BE32-E72D297353CC}">
              <c16:uniqueId val="{00000000-338C-4303-A0DD-3DF2766B7FA7}"/>
            </c:ext>
          </c:extLst>
        </c:ser>
        <c:ser>
          <c:idx val="1"/>
          <c:order val="1"/>
          <c:tx>
            <c:v>In Progress</c:v>
          </c:tx>
          <c:invertIfNegative val="1"/>
          <c:cat>
            <c:strRef>
              <c:f>Dashboard!$A$12:$A$15</c:f>
              <c:strCache>
                <c:ptCount val="4"/>
                <c:pt idx="0">
                  <c:v>DSA</c:v>
                </c:pt>
                <c:pt idx="1">
                  <c:v>SQL</c:v>
                </c:pt>
                <c:pt idx="2">
                  <c:v>Skills / Project</c:v>
                </c:pt>
                <c:pt idx="3">
                  <c:v>Days</c:v>
                </c:pt>
              </c:strCache>
            </c:strRef>
          </c:cat>
          <c:val>
            <c:numRef>
              <c:f>Dashboard!$C$12:$C$15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338C-4303-A0DD-3DF2766B7FA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10</xdr:row>
      <xdr:rowOff>0</xdr:rowOff>
    </xdr:from>
    <xdr:to>
      <xdr:col>10</xdr:col>
      <xdr:colOff>0</xdr:colOff>
      <xdr:row>24</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ilyTrackerTable" displayName="DailyTrackerTable" ref="A4:M64">
  <tableColumns count="13">
    <tableColumn id="1" xr3:uid="{00000000-0010-0000-0000-000001000000}" name="Day"/>
    <tableColumn id="2" xr3:uid="{00000000-0010-0000-0000-000002000000}" name="Date"/>
    <tableColumn id="3" xr3:uid="{00000000-0010-0000-0000-000003000000}" name="Phase"/>
    <tableColumn id="4" xr3:uid="{00000000-0010-0000-0000-000004000000}" name="DSA Target"/>
    <tableColumn id="5" xr3:uid="{00000000-0010-0000-0000-000005000000}" name="Data / ML Target"/>
    <tableColumn id="6" xr3:uid="{00000000-0010-0000-0000-000006000000}" name="SQL / Core CS Target"/>
    <tableColumn id="7" xr3:uid="{00000000-0010-0000-0000-000007000000}" name="Project / Career Target"/>
    <tableColumn id="8" xr3:uid="{00000000-0010-0000-0000-000008000000}" name="Planned Hours"/>
    <tableColumn id="9" xr3:uid="{00000000-0010-0000-0000-000009000000}" name="Actual Hours"/>
    <tableColumn id="10" xr3:uid="{00000000-0010-0000-0000-00000A000000}" name="Day Status"/>
    <tableColumn id="11" xr3:uid="{00000000-0010-0000-0000-00000B000000}" name="Biggest Win"/>
    <tableColumn id="12" xr3:uid="{00000000-0010-0000-0000-00000C000000}" name="Blocker / Question"/>
    <tableColumn id="13" xr3:uid="{00000000-0010-0000-0000-00000D000000}" name="Tomorrow's First Tas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acticeLogTable" displayName="PracticeLogTable" ref="A4:Q84">
  <tableColumns count="17">
    <tableColumn id="1" xr3:uid="{00000000-0010-0000-0100-000001000000}" name="Day"/>
    <tableColumn id="2" xr3:uid="{00000000-0010-0000-0100-000002000000}" name="Date"/>
    <tableColumn id="3" xr3:uid="{00000000-0010-0000-0100-000003000000}" name="Track"/>
    <tableColumn id="4" xr3:uid="{00000000-0010-0000-0100-000004000000}" name="Problem / Challenge"/>
    <tableColumn id="5" xr3:uid="{00000000-0010-0000-0100-000005000000}" name="Platform"/>
    <tableColumn id="6" xr3:uid="{00000000-0010-0000-0100-000006000000}" name="Topic / Pattern"/>
    <tableColumn id="7" xr3:uid="{00000000-0010-0000-0100-000007000000}" name="Difficulty"/>
    <tableColumn id="8" xr3:uid="{00000000-0010-0000-0100-000008000000}" name="Solved Independently?"/>
    <tableColumn id="9" xr3:uid="{00000000-0010-0000-0100-000009000000}" name="Status"/>
    <tableColumn id="10" xr3:uid="{00000000-0010-0000-0100-00000A000000}" name="Alternative / Brute Understood?"/>
    <tableColumn id="11" xr3:uid="{00000000-0010-0000-0100-00000B000000}" name="Optimal Approach Understood?"/>
    <tableColumn id="12" xr3:uid="{00000000-0010-0000-0100-00000C000000}" name="Complexity / SQL Concept"/>
    <tableColumn id="13" xr3:uid="{00000000-0010-0000-0100-00000D000000}" name="Confidence (1–5)"/>
    <tableColumn id="14" xr3:uid="{00000000-0010-0000-0100-00000E000000}" name="Revision Count"/>
    <tableColumn id="15" xr3:uid="{00000000-0010-0000-0100-00000F000000}" name="Next Revision Day"/>
    <tableColumn id="16" xr3:uid="{00000000-0010-0000-0100-000010000000}" name="Link"/>
    <tableColumn id="17" xr3:uid="{00000000-0010-0000-0100-000011000000}" name="Mistake / Key Insigh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killsProjectTable" displayName="SkillsProjectTable" ref="A4:J64">
  <tableColumns count="10">
    <tableColumn id="1" xr3:uid="{00000000-0010-0000-0200-000001000000}" name="Day"/>
    <tableColumn id="2" xr3:uid="{00000000-0010-0000-0200-000002000000}" name="Date"/>
    <tableColumn id="3" xr3:uid="{00000000-0010-0000-0200-000003000000}" name="Area"/>
    <tableColumn id="4" xr3:uid="{00000000-0010-0000-0200-000004000000}" name="Resource / Topic"/>
    <tableColumn id="5" xr3:uid="{00000000-0010-0000-0200-000005000000}" name="Output Created"/>
    <tableColumn id="6" xr3:uid="{00000000-0010-0000-0200-000006000000}" name="Status"/>
    <tableColumn id="7" xr3:uid="{00000000-0010-0000-0200-000007000000}" name="Confidence (1–5)"/>
    <tableColumn id="8" xr3:uid="{00000000-0010-0000-0200-000008000000}" name="Next Revision Day"/>
    <tableColumn id="9" xr3:uid="{00000000-0010-0000-0200-000009000000}" name="GitHub Pushed?"/>
    <tableColumn id="10" xr3:uid="{00000000-0010-0000-0200-00000A000000}" name="Notes / Proof"/>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opLeftCell="A7" workbookViewId="0">
      <selection activeCell="K8" sqref="K8"/>
    </sheetView>
  </sheetViews>
  <sheetFormatPr defaultRowHeight="14.25"/>
  <cols>
    <col min="1" max="1" width="20" customWidth="1"/>
    <col min="2" max="2" width="18" customWidth="1"/>
    <col min="3" max="3" width="14" customWidth="1"/>
    <col min="4" max="4" width="21" customWidth="1"/>
    <col min="5" max="5" width="16" customWidth="1"/>
    <col min="6" max="6" width="14" customWidth="1"/>
    <col min="7" max="7" width="20" customWidth="1"/>
    <col min="8" max="8" width="19" customWidth="1"/>
    <col min="9" max="10" width="14" customWidth="1"/>
  </cols>
  <sheetData>
    <row r="1" spans="1:10">
      <c r="A1" s="14" t="s">
        <v>0</v>
      </c>
      <c r="B1" s="14"/>
      <c r="C1" s="14"/>
      <c r="D1" s="14"/>
      <c r="E1" s="14"/>
      <c r="F1" s="14"/>
      <c r="G1" s="14"/>
      <c r="H1" s="14"/>
      <c r="I1" s="14"/>
      <c r="J1" s="14"/>
    </row>
    <row r="2" spans="1:10">
      <c r="A2" s="14"/>
      <c r="B2" s="14"/>
      <c r="C2" s="14"/>
      <c r="D2" s="14"/>
      <c r="E2" s="14"/>
      <c r="F2" s="14"/>
      <c r="G2" s="14"/>
      <c r="H2" s="14"/>
      <c r="I2" s="14"/>
      <c r="J2" s="14"/>
    </row>
    <row r="4" spans="1:10" ht="15">
      <c r="A4" s="1" t="s">
        <v>1</v>
      </c>
      <c r="B4" s="1" t="s">
        <v>2</v>
      </c>
      <c r="D4" s="1" t="s">
        <v>3</v>
      </c>
      <c r="E4" s="1" t="s">
        <v>4</v>
      </c>
      <c r="G4" s="1" t="s">
        <v>5</v>
      </c>
      <c r="H4" s="1" t="s">
        <v>6</v>
      </c>
    </row>
    <row r="5" spans="1:10" ht="18">
      <c r="A5" s="7" t="s">
        <v>7</v>
      </c>
      <c r="B5" s="8">
        <v>3</v>
      </c>
      <c r="D5" s="7" t="s">
        <v>8</v>
      </c>
      <c r="E5" s="8">
        <f>COUNTIFS('Practice Log'!C5:C84,"DSA",'Practice Log'!I5:I84,"Completed")</f>
        <v>4</v>
      </c>
      <c r="G5" s="7" t="s">
        <v>9</v>
      </c>
      <c r="H5" s="8" t="str">
        <f>IF(B5&lt;=14,"Phase 1",IF(B5&lt;=30,"Phase 2",IF(B5&lt;=45,"Phase 3","Phase 4")))</f>
        <v>Phase 1</v>
      </c>
    </row>
    <row r="6" spans="1:10" ht="18">
      <c r="A6" s="7" t="s">
        <v>10</v>
      </c>
      <c r="B6" s="8">
        <f>COUNTIF('Daily Tracker'!J5:J64,"Completed")</f>
        <v>3</v>
      </c>
      <c r="D6" s="7" t="s">
        <v>11</v>
      </c>
      <c r="E6" s="8">
        <f>COUNTIFS('Practice Log'!C5:C84,"SQL",'Practice Log'!I5:I84,"Completed")</f>
        <v>15</v>
      </c>
      <c r="G6" s="7" t="s">
        <v>12</v>
      </c>
      <c r="H6" s="8">
        <f>60-B5</f>
        <v>57</v>
      </c>
    </row>
    <row r="7" spans="1:10" ht="18">
      <c r="A7" s="7" t="s">
        <v>13</v>
      </c>
      <c r="B7" s="8">
        <f>SUM('Daily Tracker'!I5:I64)</f>
        <v>0</v>
      </c>
      <c r="D7" s="7" t="s">
        <v>14</v>
      </c>
      <c r="E7" s="8">
        <f>COUNTIF('Skills &amp; Project'!F5:F64,"Completed")</f>
        <v>6</v>
      </c>
      <c r="G7" s="7" t="s">
        <v>15</v>
      </c>
      <c r="H7" s="8">
        <f>IF(B5&lt;14,14,IF(B5&lt;30,30,IF(B5&lt;45,45,60)))</f>
        <v>14</v>
      </c>
    </row>
    <row r="8" spans="1:10" ht="18">
      <c r="A8" s="7" t="s">
        <v>16</v>
      </c>
      <c r="B8" s="9">
        <f>(COUNTIF('Daily Tracker'!J5:J64,"Completed")+0.5*COUNTIF('Daily Tracker'!J5:J64,"In Progress"))/60</f>
        <v>0.05</v>
      </c>
      <c r="D8" s="7" t="s">
        <v>17</v>
      </c>
      <c r="E8" s="8">
        <f>COUNTIFS('Practice Log'!O5:O84,"&gt;0",'Practice Log'!O5:O84,"&lt;="&amp;$B$5,'Practice Log'!I5:I84,"Completed")+COUNTIFS('Skills &amp; Project'!H5:H64,"&gt;0",'Skills &amp; Project'!H5:H64,"&lt;="&amp;$B$5,'Skills &amp; Project'!F5:F64,"Completed")</f>
        <v>0</v>
      </c>
      <c r="G8" s="7" t="s">
        <v>18</v>
      </c>
      <c r="H8" s="8" t="str">
        <f>IF(B5&lt;14,"FROZEN — EXECUTE","AUDIT ALLOWED")</f>
        <v>FROZEN — EXECUTE</v>
      </c>
    </row>
    <row r="11" spans="1:10" ht="15">
      <c r="A11" s="1" t="s">
        <v>19</v>
      </c>
      <c r="B11" s="1" t="s">
        <v>20</v>
      </c>
      <c r="C11" s="1" t="s">
        <v>21</v>
      </c>
    </row>
    <row r="12" spans="1:10">
      <c r="A12" s="10" t="s">
        <v>22</v>
      </c>
      <c r="B12" s="10">
        <f>E5</f>
        <v>4</v>
      </c>
      <c r="C12" s="10">
        <f>COUNTIFS('Practice Log'!C5:C84,"DSA",'Practice Log'!I5:I84,"In Progress")</f>
        <v>0</v>
      </c>
    </row>
    <row r="13" spans="1:10">
      <c r="A13" s="10" t="s">
        <v>23</v>
      </c>
      <c r="B13" s="10">
        <f>E6</f>
        <v>15</v>
      </c>
      <c r="C13" s="10">
        <f>COUNTIFS('Practice Log'!C5:C84,"SQL",'Practice Log'!I5:I84,"In Progress")</f>
        <v>0</v>
      </c>
    </row>
    <row r="14" spans="1:10">
      <c r="A14" s="10" t="s">
        <v>24</v>
      </c>
      <c r="B14" s="10">
        <f>E7</f>
        <v>6</v>
      </c>
      <c r="C14" s="10">
        <f>COUNTIF('Skills &amp; Project'!F5:F64,"In Progress")</f>
        <v>0</v>
      </c>
    </row>
    <row r="15" spans="1:10">
      <c r="A15" s="10" t="s">
        <v>25</v>
      </c>
      <c r="B15" s="10">
        <f>B6</f>
        <v>3</v>
      </c>
      <c r="C15" s="10">
        <f>COUNTIF('Daily Tracker'!J5:J64,"In Progress")</f>
        <v>0</v>
      </c>
    </row>
    <row r="27" spans="1:10" ht="15.75">
      <c r="A27" s="12" t="s">
        <v>26</v>
      </c>
      <c r="B27" s="12"/>
      <c r="C27" s="12"/>
      <c r="D27" s="12"/>
      <c r="E27" s="12"/>
      <c r="F27" s="12"/>
      <c r="G27" s="12"/>
      <c r="H27" s="12"/>
      <c r="I27" s="12"/>
      <c r="J27" s="12"/>
    </row>
    <row r="28" spans="1:10" ht="32.1" customHeight="1">
      <c r="A28" s="7" t="s">
        <v>22</v>
      </c>
      <c r="B28" s="11" t="str">
        <f>IF(INDEX('Daily Tracker'!D5:D64,$B$5)="","Fill today's DSA target in Daily Tracker",INDEX('Daily Tracker'!D5:D64,$B$5))</f>
        <v>Best Time to Buy and Sell Stock</v>
      </c>
      <c r="C28" s="11"/>
      <c r="D28" s="11"/>
      <c r="E28" s="11"/>
      <c r="F28" s="11"/>
      <c r="G28" s="11"/>
      <c r="H28" s="11"/>
      <c r="I28" s="11"/>
      <c r="J28" s="11"/>
    </row>
    <row r="29" spans="1:10" ht="32.1" customHeight="1">
      <c r="A29" s="7" t="s">
        <v>27</v>
      </c>
      <c r="B29" s="11" t="str">
        <f>IF(INDEX('Daily Tracker'!E5:E64,$B$5)="","Fill today's Data/ML target in Daily Tracker",INDEX('Daily Tracker'!E5:E64,$B$5))</f>
        <v>Pandas Video 3: Indexes</v>
      </c>
      <c r="C29" s="11"/>
      <c r="D29" s="11"/>
      <c r="E29" s="11"/>
      <c r="F29" s="11"/>
      <c r="G29" s="11"/>
      <c r="H29" s="11"/>
      <c r="I29" s="11"/>
      <c r="J29" s="11"/>
    </row>
    <row r="30" spans="1:10" ht="32.1" customHeight="1">
      <c r="A30" s="7" t="s">
        <v>28</v>
      </c>
      <c r="B30" s="11" t="str">
        <f>IF(INDEX('Daily Tracker'!F5:F64,$B$5)="","Fill today's SQL/Core target in Daily Tracker",INDEX('Daily Tracker'!F5:F64,$B$5))</f>
        <v>Station 6 &amp; 7: LIKE / REGEXP</v>
      </c>
      <c r="C30" s="11"/>
      <c r="D30" s="11"/>
      <c r="E30" s="11"/>
      <c r="F30" s="11"/>
      <c r="G30" s="11"/>
      <c r="H30" s="11"/>
      <c r="I30" s="11"/>
      <c r="J30" s="11"/>
    </row>
    <row r="31" spans="1:10" ht="32.1" customHeight="1">
      <c r="A31" s="7" t="s">
        <v>29</v>
      </c>
      <c r="B31" s="11" t="str">
        <f>IF(INDEX('Daily Tracker'!G5:G64,$B$5)="","Fill today's project/career target in Daily Tracker",INDEX('Daily Tracker'!G5:G64,$B$5))</f>
        <v>Fix repository structure and .gitignore</v>
      </c>
      <c r="C31" s="11"/>
      <c r="D31" s="11"/>
      <c r="E31" s="11"/>
      <c r="F31" s="11"/>
      <c r="G31" s="11"/>
      <c r="H31" s="11"/>
      <c r="I31" s="11"/>
      <c r="J31" s="11"/>
    </row>
    <row r="34" spans="1:10" ht="15.75">
      <c r="A34" s="12" t="s">
        <v>30</v>
      </c>
      <c r="B34" s="12"/>
      <c r="C34" s="12"/>
      <c r="D34" s="12"/>
      <c r="E34" s="12"/>
      <c r="F34" s="12"/>
      <c r="G34" s="12"/>
      <c r="H34" s="12"/>
      <c r="I34" s="12"/>
      <c r="J34" s="12"/>
    </row>
    <row r="35" spans="1:10">
      <c r="A35" s="13" t="s">
        <v>31</v>
      </c>
      <c r="B35" s="13"/>
      <c r="C35" s="13"/>
      <c r="D35" s="13"/>
      <c r="E35" s="13"/>
      <c r="F35" s="13"/>
      <c r="G35" s="13"/>
      <c r="H35" s="13"/>
      <c r="I35" s="13"/>
      <c r="J35" s="13"/>
    </row>
    <row r="36" spans="1:10">
      <c r="A36" s="13"/>
      <c r="B36" s="13"/>
      <c r="C36" s="13"/>
      <c r="D36" s="13"/>
      <c r="E36" s="13"/>
      <c r="F36" s="13"/>
      <c r="G36" s="13"/>
      <c r="H36" s="13"/>
      <c r="I36" s="13"/>
      <c r="J36" s="13"/>
    </row>
    <row r="37" spans="1:10">
      <c r="A37" s="13"/>
      <c r="B37" s="13"/>
      <c r="C37" s="13"/>
      <c r="D37" s="13"/>
      <c r="E37" s="13"/>
      <c r="F37" s="13"/>
      <c r="G37" s="13"/>
      <c r="H37" s="13"/>
      <c r="I37" s="13"/>
      <c r="J37" s="13"/>
    </row>
    <row r="38" spans="1:10">
      <c r="A38" s="13"/>
      <c r="B38" s="13"/>
      <c r="C38" s="13"/>
      <c r="D38" s="13"/>
      <c r="E38" s="13"/>
      <c r="F38" s="13"/>
      <c r="G38" s="13"/>
      <c r="H38" s="13"/>
      <c r="I38" s="13"/>
      <c r="J38" s="13"/>
    </row>
    <row r="39" spans="1:10">
      <c r="A39" s="13"/>
      <c r="B39" s="13"/>
      <c r="C39" s="13"/>
      <c r="D39" s="13"/>
      <c r="E39" s="13"/>
      <c r="F39" s="13"/>
      <c r="G39" s="13"/>
      <c r="H39" s="13"/>
      <c r="I39" s="13"/>
      <c r="J39" s="13"/>
    </row>
  </sheetData>
  <mergeCells count="8">
    <mergeCell ref="B31:J31"/>
    <mergeCell ref="A34:J34"/>
    <mergeCell ref="A35:J39"/>
    <mergeCell ref="A1:J2"/>
    <mergeCell ref="A27:J27"/>
    <mergeCell ref="B28:J28"/>
    <mergeCell ref="B29:J29"/>
    <mergeCell ref="B30:J30"/>
  </mergeCells>
  <dataValidations count="1">
    <dataValidation sqref="B5" xr:uid="{00000000-0002-0000-0000-000000000000}">
      <formula1>1</formula1>
      <formula2>60</formula2>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4"/>
  <sheetViews>
    <sheetView topLeftCell="E4" workbookViewId="0">
      <selection activeCell="K7" sqref="K7"/>
    </sheetView>
  </sheetViews>
  <sheetFormatPr defaultRowHeight="14.25"/>
  <cols>
    <col min="1" max="1" width="7" customWidth="1"/>
    <col min="2" max="2" width="13" customWidth="1"/>
    <col min="3" max="3" width="11" customWidth="1"/>
    <col min="4" max="4" width="28" customWidth="1"/>
    <col min="5" max="6" width="30" customWidth="1"/>
    <col min="7" max="7" width="28" customWidth="1"/>
    <col min="8" max="9" width="12" customWidth="1"/>
    <col min="10" max="10" width="15" customWidth="1"/>
    <col min="11" max="11" width="28" customWidth="1"/>
    <col min="12" max="12" width="30" customWidth="1"/>
    <col min="13" max="13" width="28" customWidth="1"/>
  </cols>
  <sheetData>
    <row r="1" spans="1:13">
      <c r="A1" s="14" t="s">
        <v>32</v>
      </c>
      <c r="B1" s="14"/>
      <c r="C1" s="14"/>
      <c r="D1" s="14"/>
      <c r="E1" s="14"/>
      <c r="F1" s="14"/>
      <c r="G1" s="14"/>
      <c r="H1" s="14"/>
      <c r="I1" s="14"/>
      <c r="J1" s="14"/>
      <c r="K1" s="14"/>
      <c r="L1" s="14"/>
      <c r="M1" s="14"/>
    </row>
    <row r="2" spans="1:13">
      <c r="A2" s="14"/>
      <c r="B2" s="14"/>
      <c r="C2" s="14"/>
      <c r="D2" s="14"/>
      <c r="E2" s="14"/>
      <c r="F2" s="14"/>
      <c r="G2" s="14"/>
      <c r="H2" s="14"/>
      <c r="I2" s="14"/>
      <c r="J2" s="14"/>
      <c r="K2" s="14"/>
      <c r="L2" s="14"/>
      <c r="M2" s="14"/>
    </row>
    <row r="4" spans="1:13" ht="30">
      <c r="A4" s="1" t="s">
        <v>33</v>
      </c>
      <c r="B4" s="1" t="s">
        <v>34</v>
      </c>
      <c r="C4" s="1" t="s">
        <v>35</v>
      </c>
      <c r="D4" s="1" t="s">
        <v>36</v>
      </c>
      <c r="E4" s="1" t="s">
        <v>37</v>
      </c>
      <c r="F4" s="1" t="s">
        <v>38</v>
      </c>
      <c r="G4" s="1" t="s">
        <v>39</v>
      </c>
      <c r="H4" s="1" t="s">
        <v>40</v>
      </c>
      <c r="I4" s="1" t="s">
        <v>41</v>
      </c>
      <c r="J4" s="1" t="s">
        <v>42</v>
      </c>
      <c r="K4" s="1" t="s">
        <v>43</v>
      </c>
      <c r="L4" s="1" t="s">
        <v>44</v>
      </c>
      <c r="M4" s="1" t="s">
        <v>45</v>
      </c>
    </row>
    <row r="5" spans="1:13" ht="28.5">
      <c r="A5" s="3">
        <v>1</v>
      </c>
      <c r="B5" s="5"/>
      <c r="C5" s="3" t="s">
        <v>46</v>
      </c>
      <c r="D5" s="3" t="s">
        <v>47</v>
      </c>
      <c r="E5" s="3" t="s">
        <v>48</v>
      </c>
      <c r="F5" s="3" t="s">
        <v>49</v>
      </c>
      <c r="G5" s="3" t="s">
        <v>50</v>
      </c>
      <c r="H5" s="6">
        <v>4</v>
      </c>
      <c r="I5" s="6"/>
      <c r="J5" s="3" t="s">
        <v>20</v>
      </c>
      <c r="K5" s="3" t="s">
        <v>51</v>
      </c>
      <c r="L5" s="3"/>
      <c r="M5" s="3" t="s">
        <v>52</v>
      </c>
    </row>
    <row r="6" spans="1:13" ht="28.5">
      <c r="A6" s="3">
        <v>2</v>
      </c>
      <c r="B6" s="5"/>
      <c r="C6" s="3" t="s">
        <v>46</v>
      </c>
      <c r="D6" s="3" t="s">
        <v>53</v>
      </c>
      <c r="E6" s="3" t="s">
        <v>54</v>
      </c>
      <c r="F6" s="3" t="s">
        <v>55</v>
      </c>
      <c r="G6" s="3" t="s">
        <v>56</v>
      </c>
      <c r="H6" s="6">
        <v>4</v>
      </c>
      <c r="I6" s="6"/>
      <c r="J6" s="3" t="s">
        <v>20</v>
      </c>
      <c r="K6" s="3" t="s">
        <v>57</v>
      </c>
      <c r="L6" s="3"/>
      <c r="M6" s="3" t="s">
        <v>58</v>
      </c>
    </row>
    <row r="7" spans="1:13" ht="28.5">
      <c r="A7" s="3">
        <v>3</v>
      </c>
      <c r="B7" s="5"/>
      <c r="C7" s="3" t="s">
        <v>46</v>
      </c>
      <c r="D7" s="3" t="s">
        <v>59</v>
      </c>
      <c r="E7" s="3" t="s">
        <v>60</v>
      </c>
      <c r="F7" s="3" t="s">
        <v>61</v>
      </c>
      <c r="G7" s="3" t="s">
        <v>62</v>
      </c>
      <c r="H7" s="6">
        <v>4</v>
      </c>
      <c r="I7" s="6"/>
      <c r="J7" s="3" t="s">
        <v>20</v>
      </c>
      <c r="K7" s="3" t="s">
        <v>234</v>
      </c>
      <c r="L7" s="3"/>
      <c r="M7" s="3" t="s">
        <v>63</v>
      </c>
    </row>
    <row r="8" spans="1:13">
      <c r="A8" s="3">
        <v>4</v>
      </c>
      <c r="B8" s="5"/>
      <c r="C8" s="3" t="s">
        <v>46</v>
      </c>
      <c r="D8" s="3"/>
      <c r="E8" s="3"/>
      <c r="F8" s="3"/>
      <c r="G8" s="3"/>
      <c r="H8" s="6">
        <v>4</v>
      </c>
      <c r="I8" s="6"/>
      <c r="J8" s="3" t="s">
        <v>64</v>
      </c>
      <c r="K8" s="3"/>
      <c r="L8" s="3"/>
      <c r="M8" s="3"/>
    </row>
    <row r="9" spans="1:13">
      <c r="A9" s="3">
        <v>5</v>
      </c>
      <c r="B9" s="5"/>
      <c r="C9" s="3" t="s">
        <v>46</v>
      </c>
      <c r="D9" s="3"/>
      <c r="E9" s="3"/>
      <c r="F9" s="3"/>
      <c r="G9" s="3"/>
      <c r="H9" s="6">
        <v>4</v>
      </c>
      <c r="I9" s="6"/>
      <c r="J9" s="3" t="s">
        <v>64</v>
      </c>
      <c r="K9" s="3"/>
      <c r="L9" s="3"/>
      <c r="M9" s="3"/>
    </row>
    <row r="10" spans="1:13">
      <c r="A10" s="3">
        <v>6</v>
      </c>
      <c r="B10" s="5"/>
      <c r="C10" s="3" t="s">
        <v>46</v>
      </c>
      <c r="D10" s="3"/>
      <c r="E10" s="3"/>
      <c r="F10" s="3"/>
      <c r="G10" s="3"/>
      <c r="H10" s="6">
        <v>4</v>
      </c>
      <c r="I10" s="6"/>
      <c r="J10" s="3" t="s">
        <v>64</v>
      </c>
      <c r="K10" s="3"/>
      <c r="L10" s="3"/>
      <c r="M10" s="3"/>
    </row>
    <row r="11" spans="1:13">
      <c r="A11" s="3">
        <v>7</v>
      </c>
      <c r="B11" s="5"/>
      <c r="C11" s="3" t="s">
        <v>46</v>
      </c>
      <c r="D11" s="3"/>
      <c r="E11" s="3"/>
      <c r="F11" s="3"/>
      <c r="G11" s="3"/>
      <c r="H11" s="6">
        <v>4</v>
      </c>
      <c r="I11" s="6"/>
      <c r="J11" s="3" t="s">
        <v>64</v>
      </c>
      <c r="K11" s="3"/>
      <c r="L11" s="3"/>
      <c r="M11" s="3"/>
    </row>
    <row r="12" spans="1:13">
      <c r="A12" s="3">
        <v>8</v>
      </c>
      <c r="B12" s="5"/>
      <c r="C12" s="3" t="s">
        <v>46</v>
      </c>
      <c r="D12" s="3"/>
      <c r="E12" s="3"/>
      <c r="F12" s="3"/>
      <c r="G12" s="3"/>
      <c r="H12" s="6">
        <v>4</v>
      </c>
      <c r="I12" s="6"/>
      <c r="J12" s="3" t="s">
        <v>64</v>
      </c>
      <c r="K12" s="3"/>
      <c r="L12" s="3"/>
      <c r="M12" s="3"/>
    </row>
    <row r="13" spans="1:13">
      <c r="A13" s="3">
        <v>9</v>
      </c>
      <c r="B13" s="5"/>
      <c r="C13" s="3" t="s">
        <v>46</v>
      </c>
      <c r="D13" s="3"/>
      <c r="E13" s="3"/>
      <c r="F13" s="3"/>
      <c r="G13" s="3"/>
      <c r="H13" s="6">
        <v>4</v>
      </c>
      <c r="I13" s="6"/>
      <c r="J13" s="3" t="s">
        <v>64</v>
      </c>
      <c r="K13" s="3"/>
      <c r="L13" s="3"/>
      <c r="M13" s="3"/>
    </row>
    <row r="14" spans="1:13">
      <c r="A14" s="3">
        <v>10</v>
      </c>
      <c r="B14" s="5"/>
      <c r="C14" s="3" t="s">
        <v>46</v>
      </c>
      <c r="D14" s="3"/>
      <c r="E14" s="3"/>
      <c r="F14" s="3"/>
      <c r="G14" s="3"/>
      <c r="H14" s="6">
        <v>4</v>
      </c>
      <c r="I14" s="6"/>
      <c r="J14" s="3" t="s">
        <v>64</v>
      </c>
      <c r="K14" s="3"/>
      <c r="L14" s="3"/>
      <c r="M14" s="3"/>
    </row>
    <row r="15" spans="1:13">
      <c r="A15" s="3">
        <v>11</v>
      </c>
      <c r="B15" s="5"/>
      <c r="C15" s="3" t="s">
        <v>46</v>
      </c>
      <c r="D15" s="3"/>
      <c r="E15" s="3"/>
      <c r="F15" s="3"/>
      <c r="G15" s="3"/>
      <c r="H15" s="6">
        <v>4</v>
      </c>
      <c r="I15" s="6"/>
      <c r="J15" s="3" t="s">
        <v>64</v>
      </c>
      <c r="K15" s="3"/>
      <c r="L15" s="3"/>
      <c r="M15" s="3"/>
    </row>
    <row r="16" spans="1:13">
      <c r="A16" s="3">
        <v>12</v>
      </c>
      <c r="B16" s="5"/>
      <c r="C16" s="3" t="s">
        <v>46</v>
      </c>
      <c r="D16" s="3"/>
      <c r="E16" s="3"/>
      <c r="F16" s="3"/>
      <c r="G16" s="3"/>
      <c r="H16" s="6">
        <v>4</v>
      </c>
      <c r="I16" s="6"/>
      <c r="J16" s="3" t="s">
        <v>64</v>
      </c>
      <c r="K16" s="3"/>
      <c r="L16" s="3"/>
      <c r="M16" s="3"/>
    </row>
    <row r="17" spans="1:13">
      <c r="A17" s="3">
        <v>13</v>
      </c>
      <c r="B17" s="5"/>
      <c r="C17" s="3" t="s">
        <v>46</v>
      </c>
      <c r="D17" s="3"/>
      <c r="E17" s="3"/>
      <c r="F17" s="3"/>
      <c r="G17" s="3"/>
      <c r="H17" s="6">
        <v>4</v>
      </c>
      <c r="I17" s="6"/>
      <c r="J17" s="3" t="s">
        <v>64</v>
      </c>
      <c r="K17" s="3"/>
      <c r="L17" s="3"/>
      <c r="M17" s="3"/>
    </row>
    <row r="18" spans="1:13">
      <c r="A18" s="3">
        <v>14</v>
      </c>
      <c r="B18" s="5"/>
      <c r="C18" s="3" t="s">
        <v>46</v>
      </c>
      <c r="D18" s="3"/>
      <c r="E18" s="3"/>
      <c r="F18" s="3"/>
      <c r="G18" s="3"/>
      <c r="H18" s="6">
        <v>4</v>
      </c>
      <c r="I18" s="6"/>
      <c r="J18" s="3" t="s">
        <v>64</v>
      </c>
      <c r="K18" s="3"/>
      <c r="L18" s="3"/>
      <c r="M18" s="3"/>
    </row>
    <row r="19" spans="1:13">
      <c r="A19" s="3">
        <v>15</v>
      </c>
      <c r="B19" s="5"/>
      <c r="C19" s="3" t="s">
        <v>65</v>
      </c>
      <c r="D19" s="3"/>
      <c r="E19" s="3"/>
      <c r="F19" s="3"/>
      <c r="G19" s="3"/>
      <c r="H19" s="6">
        <v>4</v>
      </c>
      <c r="I19" s="6"/>
      <c r="J19" s="3" t="s">
        <v>64</v>
      </c>
      <c r="K19" s="3"/>
      <c r="L19" s="3"/>
      <c r="M19" s="3"/>
    </row>
    <row r="20" spans="1:13">
      <c r="A20" s="3">
        <v>16</v>
      </c>
      <c r="B20" s="5"/>
      <c r="C20" s="3" t="s">
        <v>65</v>
      </c>
      <c r="D20" s="3"/>
      <c r="E20" s="3"/>
      <c r="F20" s="3"/>
      <c r="G20" s="3"/>
      <c r="H20" s="6">
        <v>4</v>
      </c>
      <c r="I20" s="6"/>
      <c r="J20" s="3" t="s">
        <v>64</v>
      </c>
      <c r="K20" s="3"/>
      <c r="L20" s="3"/>
      <c r="M20" s="3"/>
    </row>
    <row r="21" spans="1:13">
      <c r="A21" s="3">
        <v>17</v>
      </c>
      <c r="B21" s="5"/>
      <c r="C21" s="3" t="s">
        <v>65</v>
      </c>
      <c r="D21" s="3"/>
      <c r="E21" s="3"/>
      <c r="F21" s="3"/>
      <c r="G21" s="3"/>
      <c r="H21" s="6">
        <v>4</v>
      </c>
      <c r="I21" s="6"/>
      <c r="J21" s="3" t="s">
        <v>64</v>
      </c>
      <c r="K21" s="3"/>
      <c r="L21" s="3"/>
      <c r="M21" s="3"/>
    </row>
    <row r="22" spans="1:13">
      <c r="A22" s="3">
        <v>18</v>
      </c>
      <c r="B22" s="5"/>
      <c r="C22" s="3" t="s">
        <v>65</v>
      </c>
      <c r="D22" s="3"/>
      <c r="E22" s="3"/>
      <c r="F22" s="3"/>
      <c r="G22" s="3"/>
      <c r="H22" s="6">
        <v>4</v>
      </c>
      <c r="I22" s="6"/>
      <c r="J22" s="3" t="s">
        <v>64</v>
      </c>
      <c r="K22" s="3"/>
      <c r="L22" s="3"/>
      <c r="M22" s="3"/>
    </row>
    <row r="23" spans="1:13">
      <c r="A23" s="3">
        <v>19</v>
      </c>
      <c r="B23" s="5"/>
      <c r="C23" s="3" t="s">
        <v>65</v>
      </c>
      <c r="D23" s="3"/>
      <c r="E23" s="3"/>
      <c r="F23" s="3"/>
      <c r="G23" s="3"/>
      <c r="H23" s="6">
        <v>4</v>
      </c>
      <c r="I23" s="6"/>
      <c r="J23" s="3" t="s">
        <v>64</v>
      </c>
      <c r="K23" s="3"/>
      <c r="L23" s="3"/>
      <c r="M23" s="3"/>
    </row>
    <row r="24" spans="1:13">
      <c r="A24" s="3">
        <v>20</v>
      </c>
      <c r="B24" s="5"/>
      <c r="C24" s="3" t="s">
        <v>65</v>
      </c>
      <c r="D24" s="3"/>
      <c r="E24" s="3"/>
      <c r="F24" s="3"/>
      <c r="G24" s="3"/>
      <c r="H24" s="6">
        <v>4</v>
      </c>
      <c r="I24" s="6"/>
      <c r="J24" s="3" t="s">
        <v>64</v>
      </c>
      <c r="K24" s="3"/>
      <c r="L24" s="3"/>
      <c r="M24" s="3"/>
    </row>
    <row r="25" spans="1:13">
      <c r="A25" s="3">
        <v>21</v>
      </c>
      <c r="B25" s="5"/>
      <c r="C25" s="3" t="s">
        <v>65</v>
      </c>
      <c r="D25" s="3"/>
      <c r="E25" s="3"/>
      <c r="F25" s="3"/>
      <c r="G25" s="3"/>
      <c r="H25" s="6">
        <v>4</v>
      </c>
      <c r="I25" s="6"/>
      <c r="J25" s="3" t="s">
        <v>64</v>
      </c>
      <c r="K25" s="3"/>
      <c r="L25" s="3"/>
      <c r="M25" s="3"/>
    </row>
    <row r="26" spans="1:13">
      <c r="A26" s="3">
        <v>22</v>
      </c>
      <c r="B26" s="5"/>
      <c r="C26" s="3" t="s">
        <v>65</v>
      </c>
      <c r="D26" s="3"/>
      <c r="E26" s="3"/>
      <c r="F26" s="3"/>
      <c r="G26" s="3"/>
      <c r="H26" s="6">
        <v>4</v>
      </c>
      <c r="I26" s="6"/>
      <c r="J26" s="3" t="s">
        <v>64</v>
      </c>
      <c r="K26" s="3"/>
      <c r="L26" s="3"/>
      <c r="M26" s="3"/>
    </row>
    <row r="27" spans="1:13">
      <c r="A27" s="3">
        <v>23</v>
      </c>
      <c r="B27" s="5"/>
      <c r="C27" s="3" t="s">
        <v>65</v>
      </c>
      <c r="D27" s="3"/>
      <c r="E27" s="3"/>
      <c r="F27" s="3"/>
      <c r="G27" s="3"/>
      <c r="H27" s="6">
        <v>4</v>
      </c>
      <c r="I27" s="6"/>
      <c r="J27" s="3" t="s">
        <v>64</v>
      </c>
      <c r="K27" s="3"/>
      <c r="L27" s="3"/>
      <c r="M27" s="3"/>
    </row>
    <row r="28" spans="1:13">
      <c r="A28" s="3">
        <v>24</v>
      </c>
      <c r="B28" s="5"/>
      <c r="C28" s="3" t="s">
        <v>65</v>
      </c>
      <c r="D28" s="3"/>
      <c r="E28" s="3"/>
      <c r="F28" s="3"/>
      <c r="G28" s="3"/>
      <c r="H28" s="6">
        <v>4</v>
      </c>
      <c r="I28" s="6"/>
      <c r="J28" s="3" t="s">
        <v>64</v>
      </c>
      <c r="K28" s="3"/>
      <c r="L28" s="3"/>
      <c r="M28" s="3"/>
    </row>
    <row r="29" spans="1:13">
      <c r="A29" s="3">
        <v>25</v>
      </c>
      <c r="B29" s="5"/>
      <c r="C29" s="3" t="s">
        <v>65</v>
      </c>
      <c r="D29" s="3"/>
      <c r="E29" s="3"/>
      <c r="F29" s="3"/>
      <c r="G29" s="3"/>
      <c r="H29" s="6">
        <v>4</v>
      </c>
      <c r="I29" s="6"/>
      <c r="J29" s="3" t="s">
        <v>64</v>
      </c>
      <c r="K29" s="3"/>
      <c r="L29" s="3"/>
      <c r="M29" s="3"/>
    </row>
    <row r="30" spans="1:13">
      <c r="A30" s="3">
        <v>26</v>
      </c>
      <c r="B30" s="5"/>
      <c r="C30" s="3" t="s">
        <v>65</v>
      </c>
      <c r="D30" s="3"/>
      <c r="E30" s="3"/>
      <c r="F30" s="3"/>
      <c r="G30" s="3"/>
      <c r="H30" s="6">
        <v>4</v>
      </c>
      <c r="I30" s="6"/>
      <c r="J30" s="3" t="s">
        <v>64</v>
      </c>
      <c r="K30" s="3"/>
      <c r="L30" s="3"/>
      <c r="M30" s="3"/>
    </row>
    <row r="31" spans="1:13">
      <c r="A31" s="3">
        <v>27</v>
      </c>
      <c r="B31" s="5"/>
      <c r="C31" s="3" t="s">
        <v>65</v>
      </c>
      <c r="D31" s="3"/>
      <c r="E31" s="3"/>
      <c r="F31" s="3"/>
      <c r="G31" s="3"/>
      <c r="H31" s="6">
        <v>4</v>
      </c>
      <c r="I31" s="6"/>
      <c r="J31" s="3" t="s">
        <v>64</v>
      </c>
      <c r="K31" s="3"/>
      <c r="L31" s="3"/>
      <c r="M31" s="3"/>
    </row>
    <row r="32" spans="1:13">
      <c r="A32" s="3">
        <v>28</v>
      </c>
      <c r="B32" s="5"/>
      <c r="C32" s="3" t="s">
        <v>65</v>
      </c>
      <c r="D32" s="3"/>
      <c r="E32" s="3"/>
      <c r="F32" s="3"/>
      <c r="G32" s="3"/>
      <c r="H32" s="6">
        <v>4</v>
      </c>
      <c r="I32" s="6"/>
      <c r="J32" s="3" t="s">
        <v>64</v>
      </c>
      <c r="K32" s="3"/>
      <c r="L32" s="3"/>
      <c r="M32" s="3"/>
    </row>
    <row r="33" spans="1:13">
      <c r="A33" s="3">
        <v>29</v>
      </c>
      <c r="B33" s="5"/>
      <c r="C33" s="3" t="s">
        <v>65</v>
      </c>
      <c r="D33" s="3"/>
      <c r="E33" s="3"/>
      <c r="F33" s="3"/>
      <c r="G33" s="3"/>
      <c r="H33" s="6">
        <v>4</v>
      </c>
      <c r="I33" s="6"/>
      <c r="J33" s="3" t="s">
        <v>64</v>
      </c>
      <c r="K33" s="3"/>
      <c r="L33" s="3"/>
      <c r="M33" s="3"/>
    </row>
    <row r="34" spans="1:13">
      <c r="A34" s="3">
        <v>30</v>
      </c>
      <c r="B34" s="5"/>
      <c r="C34" s="3" t="s">
        <v>65</v>
      </c>
      <c r="D34" s="3"/>
      <c r="E34" s="3"/>
      <c r="F34" s="3"/>
      <c r="G34" s="3"/>
      <c r="H34" s="6">
        <v>4</v>
      </c>
      <c r="I34" s="6"/>
      <c r="J34" s="3" t="s">
        <v>64</v>
      </c>
      <c r="K34" s="3"/>
      <c r="L34" s="3"/>
      <c r="M34" s="3"/>
    </row>
    <row r="35" spans="1:13">
      <c r="A35" s="3">
        <v>31</v>
      </c>
      <c r="B35" s="5"/>
      <c r="C35" s="3" t="s">
        <v>66</v>
      </c>
      <c r="D35" s="3"/>
      <c r="E35" s="3"/>
      <c r="F35" s="3"/>
      <c r="G35" s="3"/>
      <c r="H35" s="6">
        <v>4</v>
      </c>
      <c r="I35" s="6"/>
      <c r="J35" s="3" t="s">
        <v>64</v>
      </c>
      <c r="K35" s="3"/>
      <c r="L35" s="3"/>
      <c r="M35" s="3"/>
    </row>
    <row r="36" spans="1:13">
      <c r="A36" s="3">
        <v>32</v>
      </c>
      <c r="B36" s="5"/>
      <c r="C36" s="3" t="s">
        <v>66</v>
      </c>
      <c r="D36" s="3"/>
      <c r="E36" s="3"/>
      <c r="F36" s="3"/>
      <c r="G36" s="3"/>
      <c r="H36" s="6">
        <v>4</v>
      </c>
      <c r="I36" s="6"/>
      <c r="J36" s="3" t="s">
        <v>64</v>
      </c>
      <c r="K36" s="3"/>
      <c r="L36" s="3"/>
      <c r="M36" s="3"/>
    </row>
    <row r="37" spans="1:13">
      <c r="A37" s="3">
        <v>33</v>
      </c>
      <c r="B37" s="5"/>
      <c r="C37" s="3" t="s">
        <v>66</v>
      </c>
      <c r="D37" s="3"/>
      <c r="E37" s="3"/>
      <c r="F37" s="3"/>
      <c r="G37" s="3"/>
      <c r="H37" s="6">
        <v>4</v>
      </c>
      <c r="I37" s="6"/>
      <c r="J37" s="3" t="s">
        <v>64</v>
      </c>
      <c r="K37" s="3"/>
      <c r="L37" s="3"/>
      <c r="M37" s="3"/>
    </row>
    <row r="38" spans="1:13">
      <c r="A38" s="3">
        <v>34</v>
      </c>
      <c r="B38" s="5"/>
      <c r="C38" s="3" t="s">
        <v>66</v>
      </c>
      <c r="D38" s="3"/>
      <c r="E38" s="3"/>
      <c r="F38" s="3"/>
      <c r="G38" s="3"/>
      <c r="H38" s="6">
        <v>4</v>
      </c>
      <c r="I38" s="6"/>
      <c r="J38" s="3" t="s">
        <v>64</v>
      </c>
      <c r="K38" s="3"/>
      <c r="L38" s="3"/>
      <c r="M38" s="3"/>
    </row>
    <row r="39" spans="1:13">
      <c r="A39" s="3">
        <v>35</v>
      </c>
      <c r="B39" s="5"/>
      <c r="C39" s="3" t="s">
        <v>66</v>
      </c>
      <c r="D39" s="3"/>
      <c r="E39" s="3"/>
      <c r="F39" s="3"/>
      <c r="G39" s="3"/>
      <c r="H39" s="6">
        <v>4</v>
      </c>
      <c r="I39" s="6"/>
      <c r="J39" s="3" t="s">
        <v>64</v>
      </c>
      <c r="K39" s="3"/>
      <c r="L39" s="3"/>
      <c r="M39" s="3"/>
    </row>
    <row r="40" spans="1:13">
      <c r="A40" s="3">
        <v>36</v>
      </c>
      <c r="B40" s="5"/>
      <c r="C40" s="3" t="s">
        <v>66</v>
      </c>
      <c r="D40" s="3"/>
      <c r="E40" s="3"/>
      <c r="F40" s="3"/>
      <c r="G40" s="3"/>
      <c r="H40" s="6">
        <v>4</v>
      </c>
      <c r="I40" s="6"/>
      <c r="J40" s="3" t="s">
        <v>64</v>
      </c>
      <c r="K40" s="3"/>
      <c r="L40" s="3"/>
      <c r="M40" s="3"/>
    </row>
    <row r="41" spans="1:13">
      <c r="A41" s="3">
        <v>37</v>
      </c>
      <c r="B41" s="5"/>
      <c r="C41" s="3" t="s">
        <v>66</v>
      </c>
      <c r="D41" s="3"/>
      <c r="E41" s="3"/>
      <c r="F41" s="3"/>
      <c r="G41" s="3"/>
      <c r="H41" s="6">
        <v>4</v>
      </c>
      <c r="I41" s="6"/>
      <c r="J41" s="3" t="s">
        <v>64</v>
      </c>
      <c r="K41" s="3"/>
      <c r="L41" s="3"/>
      <c r="M41" s="3"/>
    </row>
    <row r="42" spans="1:13">
      <c r="A42" s="3">
        <v>38</v>
      </c>
      <c r="B42" s="5"/>
      <c r="C42" s="3" t="s">
        <v>66</v>
      </c>
      <c r="D42" s="3"/>
      <c r="E42" s="3"/>
      <c r="F42" s="3"/>
      <c r="G42" s="3"/>
      <c r="H42" s="6">
        <v>4</v>
      </c>
      <c r="I42" s="6"/>
      <c r="J42" s="3" t="s">
        <v>64</v>
      </c>
      <c r="K42" s="3"/>
      <c r="L42" s="3"/>
      <c r="M42" s="3"/>
    </row>
    <row r="43" spans="1:13">
      <c r="A43" s="3">
        <v>39</v>
      </c>
      <c r="B43" s="5"/>
      <c r="C43" s="3" t="s">
        <v>66</v>
      </c>
      <c r="D43" s="3"/>
      <c r="E43" s="3"/>
      <c r="F43" s="3"/>
      <c r="G43" s="3"/>
      <c r="H43" s="6">
        <v>4</v>
      </c>
      <c r="I43" s="6"/>
      <c r="J43" s="3" t="s">
        <v>64</v>
      </c>
      <c r="K43" s="3"/>
      <c r="L43" s="3"/>
      <c r="M43" s="3"/>
    </row>
    <row r="44" spans="1:13">
      <c r="A44" s="3">
        <v>40</v>
      </c>
      <c r="B44" s="5"/>
      <c r="C44" s="3" t="s">
        <v>66</v>
      </c>
      <c r="D44" s="3"/>
      <c r="E44" s="3"/>
      <c r="F44" s="3"/>
      <c r="G44" s="3"/>
      <c r="H44" s="6">
        <v>4</v>
      </c>
      <c r="I44" s="6"/>
      <c r="J44" s="3" t="s">
        <v>64</v>
      </c>
      <c r="K44" s="3"/>
      <c r="L44" s="3"/>
      <c r="M44" s="3"/>
    </row>
    <row r="45" spans="1:13">
      <c r="A45" s="3">
        <v>41</v>
      </c>
      <c r="B45" s="5"/>
      <c r="C45" s="3" t="s">
        <v>66</v>
      </c>
      <c r="D45" s="3"/>
      <c r="E45" s="3"/>
      <c r="F45" s="3"/>
      <c r="G45" s="3"/>
      <c r="H45" s="6">
        <v>4</v>
      </c>
      <c r="I45" s="6"/>
      <c r="J45" s="3" t="s">
        <v>64</v>
      </c>
      <c r="K45" s="3"/>
      <c r="L45" s="3"/>
      <c r="M45" s="3"/>
    </row>
    <row r="46" spans="1:13">
      <c r="A46" s="3">
        <v>42</v>
      </c>
      <c r="B46" s="5"/>
      <c r="C46" s="3" t="s">
        <v>66</v>
      </c>
      <c r="D46" s="3"/>
      <c r="E46" s="3"/>
      <c r="F46" s="3"/>
      <c r="G46" s="3"/>
      <c r="H46" s="6">
        <v>4</v>
      </c>
      <c r="I46" s="6"/>
      <c r="J46" s="3" t="s">
        <v>64</v>
      </c>
      <c r="K46" s="3"/>
      <c r="L46" s="3"/>
      <c r="M46" s="3"/>
    </row>
    <row r="47" spans="1:13">
      <c r="A47" s="3">
        <v>43</v>
      </c>
      <c r="B47" s="5"/>
      <c r="C47" s="3" t="s">
        <v>66</v>
      </c>
      <c r="D47" s="3"/>
      <c r="E47" s="3"/>
      <c r="F47" s="3"/>
      <c r="G47" s="3"/>
      <c r="H47" s="6">
        <v>4</v>
      </c>
      <c r="I47" s="6"/>
      <c r="J47" s="3" t="s">
        <v>64</v>
      </c>
      <c r="K47" s="3"/>
      <c r="L47" s="3"/>
      <c r="M47" s="3"/>
    </row>
    <row r="48" spans="1:13">
      <c r="A48" s="3">
        <v>44</v>
      </c>
      <c r="B48" s="5"/>
      <c r="C48" s="3" t="s">
        <v>66</v>
      </c>
      <c r="D48" s="3"/>
      <c r="E48" s="3"/>
      <c r="F48" s="3"/>
      <c r="G48" s="3"/>
      <c r="H48" s="6">
        <v>4</v>
      </c>
      <c r="I48" s="6"/>
      <c r="J48" s="3" t="s">
        <v>64</v>
      </c>
      <c r="K48" s="3"/>
      <c r="L48" s="3"/>
      <c r="M48" s="3"/>
    </row>
    <row r="49" spans="1:13">
      <c r="A49" s="3">
        <v>45</v>
      </c>
      <c r="B49" s="5"/>
      <c r="C49" s="3" t="s">
        <v>66</v>
      </c>
      <c r="D49" s="3"/>
      <c r="E49" s="3"/>
      <c r="F49" s="3"/>
      <c r="G49" s="3"/>
      <c r="H49" s="6">
        <v>4</v>
      </c>
      <c r="I49" s="6"/>
      <c r="J49" s="3" t="s">
        <v>64</v>
      </c>
      <c r="K49" s="3"/>
      <c r="L49" s="3"/>
      <c r="M49" s="3"/>
    </row>
    <row r="50" spans="1:13">
      <c r="A50" s="3">
        <v>46</v>
      </c>
      <c r="B50" s="5"/>
      <c r="C50" s="3" t="s">
        <v>67</v>
      </c>
      <c r="D50" s="3"/>
      <c r="E50" s="3"/>
      <c r="F50" s="3"/>
      <c r="G50" s="3"/>
      <c r="H50" s="6">
        <v>4</v>
      </c>
      <c r="I50" s="6"/>
      <c r="J50" s="3" t="s">
        <v>64</v>
      </c>
      <c r="K50" s="3"/>
      <c r="L50" s="3"/>
      <c r="M50" s="3"/>
    </row>
    <row r="51" spans="1:13">
      <c r="A51" s="3">
        <v>47</v>
      </c>
      <c r="B51" s="5"/>
      <c r="C51" s="3" t="s">
        <v>67</v>
      </c>
      <c r="D51" s="3"/>
      <c r="E51" s="3"/>
      <c r="F51" s="3"/>
      <c r="G51" s="3"/>
      <c r="H51" s="6">
        <v>4</v>
      </c>
      <c r="I51" s="6"/>
      <c r="J51" s="3" t="s">
        <v>64</v>
      </c>
      <c r="K51" s="3"/>
      <c r="L51" s="3"/>
      <c r="M51" s="3"/>
    </row>
    <row r="52" spans="1:13">
      <c r="A52" s="3">
        <v>48</v>
      </c>
      <c r="B52" s="5"/>
      <c r="C52" s="3" t="s">
        <v>67</v>
      </c>
      <c r="D52" s="3"/>
      <c r="E52" s="3"/>
      <c r="F52" s="3"/>
      <c r="G52" s="3"/>
      <c r="H52" s="6">
        <v>4</v>
      </c>
      <c r="I52" s="6"/>
      <c r="J52" s="3" t="s">
        <v>64</v>
      </c>
      <c r="K52" s="3"/>
      <c r="L52" s="3"/>
      <c r="M52" s="3"/>
    </row>
    <row r="53" spans="1:13">
      <c r="A53" s="3">
        <v>49</v>
      </c>
      <c r="B53" s="5"/>
      <c r="C53" s="3" t="s">
        <v>67</v>
      </c>
      <c r="D53" s="3"/>
      <c r="E53" s="3"/>
      <c r="F53" s="3"/>
      <c r="G53" s="3"/>
      <c r="H53" s="6">
        <v>4</v>
      </c>
      <c r="I53" s="6"/>
      <c r="J53" s="3" t="s">
        <v>64</v>
      </c>
      <c r="K53" s="3"/>
      <c r="L53" s="3"/>
      <c r="M53" s="3"/>
    </row>
    <row r="54" spans="1:13">
      <c r="A54" s="3">
        <v>50</v>
      </c>
      <c r="B54" s="5"/>
      <c r="C54" s="3" t="s">
        <v>67</v>
      </c>
      <c r="D54" s="3"/>
      <c r="E54" s="3"/>
      <c r="F54" s="3"/>
      <c r="G54" s="3"/>
      <c r="H54" s="6">
        <v>4</v>
      </c>
      <c r="I54" s="6"/>
      <c r="J54" s="3" t="s">
        <v>64</v>
      </c>
      <c r="K54" s="3"/>
      <c r="L54" s="3"/>
      <c r="M54" s="3"/>
    </row>
    <row r="55" spans="1:13">
      <c r="A55" s="3">
        <v>51</v>
      </c>
      <c r="B55" s="5"/>
      <c r="C55" s="3" t="s">
        <v>67</v>
      </c>
      <c r="D55" s="3"/>
      <c r="E55" s="3"/>
      <c r="F55" s="3"/>
      <c r="G55" s="3"/>
      <c r="H55" s="6">
        <v>4</v>
      </c>
      <c r="I55" s="6"/>
      <c r="J55" s="3" t="s">
        <v>64</v>
      </c>
      <c r="K55" s="3"/>
      <c r="L55" s="3"/>
      <c r="M55" s="3"/>
    </row>
    <row r="56" spans="1:13">
      <c r="A56" s="3">
        <v>52</v>
      </c>
      <c r="B56" s="5"/>
      <c r="C56" s="3" t="s">
        <v>67</v>
      </c>
      <c r="D56" s="3"/>
      <c r="E56" s="3"/>
      <c r="F56" s="3"/>
      <c r="G56" s="3"/>
      <c r="H56" s="6">
        <v>4</v>
      </c>
      <c r="I56" s="6"/>
      <c r="J56" s="3" t="s">
        <v>64</v>
      </c>
      <c r="K56" s="3"/>
      <c r="L56" s="3"/>
      <c r="M56" s="3"/>
    </row>
    <row r="57" spans="1:13">
      <c r="A57" s="3">
        <v>53</v>
      </c>
      <c r="B57" s="5"/>
      <c r="C57" s="3" t="s">
        <v>67</v>
      </c>
      <c r="D57" s="3"/>
      <c r="E57" s="3"/>
      <c r="F57" s="3"/>
      <c r="G57" s="3"/>
      <c r="H57" s="6">
        <v>4</v>
      </c>
      <c r="I57" s="6"/>
      <c r="J57" s="3" t="s">
        <v>64</v>
      </c>
      <c r="K57" s="3"/>
      <c r="L57" s="3"/>
      <c r="M57" s="3"/>
    </row>
    <row r="58" spans="1:13">
      <c r="A58" s="3">
        <v>54</v>
      </c>
      <c r="B58" s="5"/>
      <c r="C58" s="3" t="s">
        <v>67</v>
      </c>
      <c r="D58" s="3"/>
      <c r="E58" s="3"/>
      <c r="F58" s="3"/>
      <c r="G58" s="3"/>
      <c r="H58" s="6">
        <v>4</v>
      </c>
      <c r="I58" s="6"/>
      <c r="J58" s="3" t="s">
        <v>64</v>
      </c>
      <c r="K58" s="3"/>
      <c r="L58" s="3"/>
      <c r="M58" s="3"/>
    </row>
    <row r="59" spans="1:13">
      <c r="A59" s="3">
        <v>55</v>
      </c>
      <c r="B59" s="5"/>
      <c r="C59" s="3" t="s">
        <v>67</v>
      </c>
      <c r="D59" s="3"/>
      <c r="E59" s="3"/>
      <c r="F59" s="3"/>
      <c r="G59" s="3"/>
      <c r="H59" s="6">
        <v>4</v>
      </c>
      <c r="I59" s="6"/>
      <c r="J59" s="3" t="s">
        <v>64</v>
      </c>
      <c r="K59" s="3"/>
      <c r="L59" s="3"/>
      <c r="M59" s="3"/>
    </row>
    <row r="60" spans="1:13">
      <c r="A60" s="3">
        <v>56</v>
      </c>
      <c r="B60" s="5"/>
      <c r="C60" s="3" t="s">
        <v>67</v>
      </c>
      <c r="D60" s="3"/>
      <c r="E60" s="3"/>
      <c r="F60" s="3"/>
      <c r="G60" s="3"/>
      <c r="H60" s="6">
        <v>4</v>
      </c>
      <c r="I60" s="6"/>
      <c r="J60" s="3" t="s">
        <v>64</v>
      </c>
      <c r="K60" s="3"/>
      <c r="L60" s="3"/>
      <c r="M60" s="3"/>
    </row>
    <row r="61" spans="1:13">
      <c r="A61" s="3">
        <v>57</v>
      </c>
      <c r="B61" s="5"/>
      <c r="C61" s="3" t="s">
        <v>67</v>
      </c>
      <c r="D61" s="3"/>
      <c r="E61" s="3"/>
      <c r="F61" s="3"/>
      <c r="G61" s="3"/>
      <c r="H61" s="6">
        <v>4</v>
      </c>
      <c r="I61" s="6"/>
      <c r="J61" s="3" t="s">
        <v>64</v>
      </c>
      <c r="K61" s="3"/>
      <c r="L61" s="3"/>
      <c r="M61" s="3"/>
    </row>
    <row r="62" spans="1:13">
      <c r="A62" s="3">
        <v>58</v>
      </c>
      <c r="B62" s="5"/>
      <c r="C62" s="3" t="s">
        <v>67</v>
      </c>
      <c r="D62" s="3"/>
      <c r="E62" s="3"/>
      <c r="F62" s="3"/>
      <c r="G62" s="3"/>
      <c r="H62" s="6">
        <v>4</v>
      </c>
      <c r="I62" s="6"/>
      <c r="J62" s="3" t="s">
        <v>64</v>
      </c>
      <c r="K62" s="3"/>
      <c r="L62" s="3"/>
      <c r="M62" s="3"/>
    </row>
    <row r="63" spans="1:13">
      <c r="A63" s="3">
        <v>59</v>
      </c>
      <c r="B63" s="5"/>
      <c r="C63" s="3" t="s">
        <v>67</v>
      </c>
      <c r="D63" s="3"/>
      <c r="E63" s="3"/>
      <c r="F63" s="3"/>
      <c r="G63" s="3"/>
      <c r="H63" s="6">
        <v>4</v>
      </c>
      <c r="I63" s="6"/>
      <c r="J63" s="3" t="s">
        <v>64</v>
      </c>
      <c r="K63" s="3"/>
      <c r="L63" s="3"/>
      <c r="M63" s="3"/>
    </row>
    <row r="64" spans="1:13">
      <c r="A64" s="3">
        <v>60</v>
      </c>
      <c r="B64" s="5"/>
      <c r="C64" s="3" t="s">
        <v>67</v>
      </c>
      <c r="D64" s="3"/>
      <c r="E64" s="3"/>
      <c r="F64" s="3"/>
      <c r="G64" s="3"/>
      <c r="H64" s="6">
        <v>4</v>
      </c>
      <c r="I64" s="6"/>
      <c r="J64" s="3" t="s">
        <v>64</v>
      </c>
      <c r="K64" s="3"/>
      <c r="L64" s="3"/>
      <c r="M64" s="3"/>
    </row>
  </sheetData>
  <mergeCells count="1">
    <mergeCell ref="A1:M2"/>
  </mergeCells>
  <conditionalFormatting sqref="J5:J64">
    <cfRule type="expression" dxfId="6" priority="1">
      <formula>J5="Completed"</formula>
    </cfRule>
    <cfRule type="expression" dxfId="5" priority="2">
      <formula>J5="In Progress"</formula>
    </cfRule>
    <cfRule type="expression" dxfId="4" priority="3">
      <formula>J5="Skipped"</formula>
    </cfRule>
  </conditionalFormatting>
  <dataValidations count="1">
    <dataValidation type="list" sqref="J5:J64" xr:uid="{00000000-0002-0000-0100-000000000000}">
      <formula1>"Not Started,In Progress,Completed,Skipped,Recovery Day"</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4"/>
  <sheetViews>
    <sheetView tabSelected="1" topLeftCell="E4" workbookViewId="0">
      <selection activeCell="P20" sqref="P20"/>
    </sheetView>
  </sheetViews>
  <sheetFormatPr defaultRowHeight="14.25"/>
  <cols>
    <col min="1" max="1" width="7" customWidth="1"/>
    <col min="2" max="2" width="13" customWidth="1"/>
    <col min="3" max="3" width="9" customWidth="1"/>
    <col min="4" max="4" width="31" customWidth="1"/>
    <col min="5" max="5" width="13" customWidth="1"/>
    <col min="6" max="6" width="28" customWidth="1"/>
    <col min="7" max="7" width="11" customWidth="1"/>
    <col min="8" max="8" width="18" customWidth="1"/>
    <col min="9" max="9" width="15" customWidth="1"/>
    <col min="10" max="11" width="18" customWidth="1"/>
    <col min="12" max="12" width="25" customWidth="1"/>
    <col min="13" max="15" width="14" customWidth="1"/>
    <col min="16" max="16" width="26" customWidth="1"/>
    <col min="17" max="17" width="36" customWidth="1"/>
  </cols>
  <sheetData>
    <row r="1" spans="1:17">
      <c r="A1" s="14" t="s">
        <v>68</v>
      </c>
      <c r="B1" s="14"/>
      <c r="C1" s="14"/>
      <c r="D1" s="14"/>
      <c r="E1" s="14"/>
      <c r="F1" s="14"/>
      <c r="G1" s="14"/>
      <c r="H1" s="14"/>
      <c r="I1" s="14"/>
      <c r="J1" s="14"/>
      <c r="K1" s="14"/>
      <c r="L1" s="14"/>
      <c r="M1" s="14"/>
      <c r="N1" s="14"/>
      <c r="O1" s="14"/>
      <c r="P1" s="14"/>
      <c r="Q1" s="14"/>
    </row>
    <row r="2" spans="1:17">
      <c r="A2" s="14"/>
      <c r="B2" s="14"/>
      <c r="C2" s="14"/>
      <c r="D2" s="14"/>
      <c r="E2" s="14"/>
      <c r="F2" s="14"/>
      <c r="G2" s="14"/>
      <c r="H2" s="14"/>
      <c r="I2" s="14"/>
      <c r="J2" s="14"/>
      <c r="K2" s="14"/>
      <c r="L2" s="14"/>
      <c r="M2" s="14"/>
      <c r="N2" s="14"/>
      <c r="O2" s="14"/>
      <c r="P2" s="14"/>
      <c r="Q2" s="14"/>
    </row>
    <row r="4" spans="1:17" ht="30">
      <c r="A4" s="1" t="s">
        <v>33</v>
      </c>
      <c r="B4" s="1" t="s">
        <v>34</v>
      </c>
      <c r="C4" s="1" t="s">
        <v>19</v>
      </c>
      <c r="D4" s="1" t="s">
        <v>69</v>
      </c>
      <c r="E4" s="1" t="s">
        <v>70</v>
      </c>
      <c r="F4" s="1" t="s">
        <v>71</v>
      </c>
      <c r="G4" s="1" t="s">
        <v>72</v>
      </c>
      <c r="H4" s="1" t="s">
        <v>73</v>
      </c>
      <c r="I4" s="1" t="s">
        <v>74</v>
      </c>
      <c r="J4" s="1" t="s">
        <v>75</v>
      </c>
      <c r="K4" s="1" t="s">
        <v>76</v>
      </c>
      <c r="L4" s="1" t="s">
        <v>77</v>
      </c>
      <c r="M4" s="1" t="s">
        <v>78</v>
      </c>
      <c r="N4" s="1" t="s">
        <v>79</v>
      </c>
      <c r="O4" s="1" t="s">
        <v>80</v>
      </c>
      <c r="P4" s="1" t="s">
        <v>81</v>
      </c>
      <c r="Q4" s="1" t="s">
        <v>82</v>
      </c>
    </row>
    <row r="5" spans="1:17" ht="28.5">
      <c r="A5" s="3">
        <v>1</v>
      </c>
      <c r="B5" s="5"/>
      <c r="C5" s="3" t="s">
        <v>22</v>
      </c>
      <c r="D5" s="3" t="s">
        <v>47</v>
      </c>
      <c r="E5" s="3" t="s">
        <v>83</v>
      </c>
      <c r="F5" s="3" t="s">
        <v>84</v>
      </c>
      <c r="G5" s="3" t="s">
        <v>85</v>
      </c>
      <c r="H5" s="3"/>
      <c r="I5" s="3" t="s">
        <v>20</v>
      </c>
      <c r="J5" s="3" t="s">
        <v>86</v>
      </c>
      <c r="K5" s="3" t="s">
        <v>86</v>
      </c>
      <c r="L5" s="3" t="s">
        <v>87</v>
      </c>
      <c r="M5" s="3"/>
      <c r="N5" s="3">
        <v>0</v>
      </c>
      <c r="O5" s="3">
        <v>4</v>
      </c>
      <c r="P5" s="3"/>
      <c r="Q5" s="3" t="s">
        <v>88</v>
      </c>
    </row>
    <row r="6" spans="1:17" ht="42.75">
      <c r="A6" s="3">
        <v>2</v>
      </c>
      <c r="B6" s="5"/>
      <c r="C6" s="3" t="s">
        <v>22</v>
      </c>
      <c r="D6" s="3" t="s">
        <v>89</v>
      </c>
      <c r="E6" s="3" t="s">
        <v>83</v>
      </c>
      <c r="F6" s="3" t="s">
        <v>90</v>
      </c>
      <c r="G6" s="3" t="s">
        <v>91</v>
      </c>
      <c r="H6" s="3"/>
      <c r="I6" s="3" t="s">
        <v>20</v>
      </c>
      <c r="J6" s="3" t="s">
        <v>86</v>
      </c>
      <c r="K6" s="3" t="s">
        <v>86</v>
      </c>
      <c r="L6" s="3" t="s">
        <v>92</v>
      </c>
      <c r="M6" s="3"/>
      <c r="N6" s="3">
        <v>0</v>
      </c>
      <c r="O6" s="3">
        <v>5</v>
      </c>
      <c r="P6" s="3"/>
      <c r="Q6" s="3" t="s">
        <v>93</v>
      </c>
    </row>
    <row r="7" spans="1:17" ht="28.5">
      <c r="A7" s="3">
        <v>2</v>
      </c>
      <c r="B7" s="5"/>
      <c r="C7" s="3" t="s">
        <v>22</v>
      </c>
      <c r="D7" s="3" t="s">
        <v>94</v>
      </c>
      <c r="E7" s="3" t="s">
        <v>83</v>
      </c>
      <c r="F7" s="3" t="s">
        <v>95</v>
      </c>
      <c r="G7" s="3" t="s">
        <v>85</v>
      </c>
      <c r="H7" s="3"/>
      <c r="I7" s="3" t="s">
        <v>20</v>
      </c>
      <c r="J7" s="3" t="s">
        <v>86</v>
      </c>
      <c r="K7" s="3" t="s">
        <v>86</v>
      </c>
      <c r="L7" s="3" t="s">
        <v>96</v>
      </c>
      <c r="M7" s="3"/>
      <c r="N7" s="3">
        <v>0</v>
      </c>
      <c r="O7" s="3">
        <v>5</v>
      </c>
      <c r="P7" s="3"/>
      <c r="Q7" s="3" t="s">
        <v>97</v>
      </c>
    </row>
    <row r="8" spans="1:17" ht="28.5">
      <c r="A8" s="3">
        <v>3</v>
      </c>
      <c r="B8" s="5"/>
      <c r="C8" s="3" t="s">
        <v>22</v>
      </c>
      <c r="D8" s="3" t="s">
        <v>59</v>
      </c>
      <c r="E8" s="3" t="s">
        <v>83</v>
      </c>
      <c r="F8" s="3" t="s">
        <v>98</v>
      </c>
      <c r="G8" s="3" t="s">
        <v>85</v>
      </c>
      <c r="H8" s="3"/>
      <c r="I8" s="3" t="s">
        <v>20</v>
      </c>
      <c r="J8" s="3" t="s">
        <v>86</v>
      </c>
      <c r="K8" s="3" t="s">
        <v>86</v>
      </c>
      <c r="L8" s="3" t="s">
        <v>92</v>
      </c>
      <c r="M8" s="3"/>
      <c r="N8" s="3">
        <v>0</v>
      </c>
      <c r="O8" s="3">
        <v>6</v>
      </c>
      <c r="P8" s="3"/>
      <c r="Q8" s="3" t="s">
        <v>99</v>
      </c>
    </row>
    <row r="9" spans="1:17" ht="15">
      <c r="A9" s="3">
        <v>1</v>
      </c>
      <c r="B9" s="5"/>
      <c r="C9" s="3" t="s">
        <v>23</v>
      </c>
      <c r="D9" s="3" t="s">
        <v>100</v>
      </c>
      <c r="E9" s="3" t="s">
        <v>101</v>
      </c>
      <c r="F9" s="3" t="s">
        <v>102</v>
      </c>
      <c r="G9" s="3" t="s">
        <v>85</v>
      </c>
      <c r="H9" s="3"/>
      <c r="I9" s="3" t="s">
        <v>20</v>
      </c>
      <c r="J9" s="3" t="s">
        <v>103</v>
      </c>
      <c r="K9" s="3" t="s">
        <v>86</v>
      </c>
      <c r="L9" s="3" t="s">
        <v>104</v>
      </c>
      <c r="M9" s="3"/>
      <c r="N9" s="3">
        <v>0</v>
      </c>
      <c r="O9" s="3">
        <v>4</v>
      </c>
      <c r="P9" s="3"/>
      <c r="Q9" s="3"/>
    </row>
    <row r="10" spans="1:17" ht="15">
      <c r="A10" s="3">
        <v>1</v>
      </c>
      <c r="B10" s="5"/>
      <c r="C10" s="3" t="s">
        <v>23</v>
      </c>
      <c r="D10" s="3" t="s">
        <v>105</v>
      </c>
      <c r="E10" s="3" t="s">
        <v>101</v>
      </c>
      <c r="F10" s="3" t="s">
        <v>102</v>
      </c>
      <c r="G10" s="3" t="s">
        <v>85</v>
      </c>
      <c r="H10" s="3"/>
      <c r="I10" s="3" t="s">
        <v>20</v>
      </c>
      <c r="J10" s="3" t="s">
        <v>103</v>
      </c>
      <c r="K10" s="3" t="s">
        <v>86</v>
      </c>
      <c r="L10" s="3" t="s">
        <v>106</v>
      </c>
      <c r="M10" s="3"/>
      <c r="N10" s="3">
        <v>0</v>
      </c>
      <c r="O10" s="3">
        <v>4</v>
      </c>
      <c r="P10" s="3"/>
      <c r="Q10" s="3"/>
    </row>
    <row r="11" spans="1:17" ht="15">
      <c r="A11" s="3">
        <v>1</v>
      </c>
      <c r="B11" s="5"/>
      <c r="C11" s="3" t="s">
        <v>23</v>
      </c>
      <c r="D11" s="3" t="s">
        <v>107</v>
      </c>
      <c r="E11" s="3" t="s">
        <v>101</v>
      </c>
      <c r="F11" s="3" t="s">
        <v>108</v>
      </c>
      <c r="G11" s="3" t="s">
        <v>85</v>
      </c>
      <c r="H11" s="3"/>
      <c r="I11" s="3" t="s">
        <v>20</v>
      </c>
      <c r="J11" s="3" t="s">
        <v>103</v>
      </c>
      <c r="K11" s="3" t="s">
        <v>86</v>
      </c>
      <c r="L11" s="3" t="s">
        <v>109</v>
      </c>
      <c r="M11" s="3"/>
      <c r="N11" s="3">
        <v>0</v>
      </c>
      <c r="O11" s="3">
        <v>4</v>
      </c>
      <c r="P11" s="3"/>
      <c r="Q11" s="3"/>
    </row>
    <row r="12" spans="1:17" ht="15">
      <c r="A12" s="3">
        <v>1</v>
      </c>
      <c r="B12" s="5"/>
      <c r="C12" s="3" t="s">
        <v>23</v>
      </c>
      <c r="D12" s="3" t="s">
        <v>110</v>
      </c>
      <c r="E12" s="3" t="s">
        <v>101</v>
      </c>
      <c r="F12" s="3" t="s">
        <v>111</v>
      </c>
      <c r="G12" s="3" t="s">
        <v>85</v>
      </c>
      <c r="H12" s="3"/>
      <c r="I12" s="3" t="s">
        <v>20</v>
      </c>
      <c r="J12" s="3" t="s">
        <v>103</v>
      </c>
      <c r="K12" s="3" t="s">
        <v>86</v>
      </c>
      <c r="L12" s="3" t="s">
        <v>112</v>
      </c>
      <c r="M12" s="3"/>
      <c r="N12" s="3">
        <v>0</v>
      </c>
      <c r="O12" s="3">
        <v>4</v>
      </c>
      <c r="P12" s="3"/>
      <c r="Q12" s="3"/>
    </row>
    <row r="13" spans="1:17" ht="15">
      <c r="A13" s="3">
        <v>1</v>
      </c>
      <c r="B13" s="5"/>
      <c r="C13" s="3" t="s">
        <v>23</v>
      </c>
      <c r="D13" s="3" t="s">
        <v>113</v>
      </c>
      <c r="E13" s="3" t="s">
        <v>101</v>
      </c>
      <c r="F13" s="3" t="s">
        <v>114</v>
      </c>
      <c r="G13" s="3" t="s">
        <v>85</v>
      </c>
      <c r="H13" s="3"/>
      <c r="I13" s="3" t="s">
        <v>20</v>
      </c>
      <c r="J13" s="3" t="s">
        <v>103</v>
      </c>
      <c r="K13" s="3" t="s">
        <v>86</v>
      </c>
      <c r="L13" s="3" t="s">
        <v>115</v>
      </c>
      <c r="M13" s="3"/>
      <c r="N13" s="3">
        <v>0</v>
      </c>
      <c r="O13" s="3">
        <v>4</v>
      </c>
      <c r="P13" s="3"/>
      <c r="Q13" s="3"/>
    </row>
    <row r="14" spans="1:17" ht="15">
      <c r="A14" s="3">
        <v>2</v>
      </c>
      <c r="B14" s="5"/>
      <c r="C14" s="3" t="s">
        <v>23</v>
      </c>
      <c r="D14" s="3" t="s">
        <v>116</v>
      </c>
      <c r="E14" s="3" t="s">
        <v>101</v>
      </c>
      <c r="F14" s="3" t="s">
        <v>117</v>
      </c>
      <c r="G14" s="3" t="s">
        <v>85</v>
      </c>
      <c r="H14" s="3"/>
      <c r="I14" s="3" t="s">
        <v>20</v>
      </c>
      <c r="J14" s="3" t="s">
        <v>103</v>
      </c>
      <c r="K14" s="3" t="s">
        <v>86</v>
      </c>
      <c r="L14" s="3" t="s">
        <v>118</v>
      </c>
      <c r="M14" s="3"/>
      <c r="N14" s="3">
        <v>0</v>
      </c>
      <c r="O14" s="3">
        <v>5</v>
      </c>
      <c r="P14" s="3"/>
      <c r="Q14" s="3"/>
    </row>
    <row r="15" spans="1:17" ht="15">
      <c r="A15" s="3">
        <v>2</v>
      </c>
      <c r="B15" s="5"/>
      <c r="C15" s="3" t="s">
        <v>23</v>
      </c>
      <c r="D15" s="3" t="s">
        <v>119</v>
      </c>
      <c r="E15" s="3" t="s">
        <v>101</v>
      </c>
      <c r="F15" s="3" t="s">
        <v>120</v>
      </c>
      <c r="G15" s="3" t="s">
        <v>85</v>
      </c>
      <c r="H15" s="3"/>
      <c r="I15" s="3" t="s">
        <v>20</v>
      </c>
      <c r="J15" s="3" t="s">
        <v>103</v>
      </c>
      <c r="K15" s="3" t="s">
        <v>86</v>
      </c>
      <c r="L15" s="3" t="s">
        <v>121</v>
      </c>
      <c r="M15" s="3"/>
      <c r="N15" s="3">
        <v>0</v>
      </c>
      <c r="O15" s="3">
        <v>5</v>
      </c>
      <c r="P15" s="3"/>
      <c r="Q15" s="3"/>
    </row>
    <row r="16" spans="1:17" ht="15">
      <c r="A16" s="3">
        <v>2</v>
      </c>
      <c r="B16" s="5"/>
      <c r="C16" s="3" t="s">
        <v>23</v>
      </c>
      <c r="D16" s="3" t="s">
        <v>122</v>
      </c>
      <c r="E16" s="3" t="s">
        <v>101</v>
      </c>
      <c r="F16" s="3" t="s">
        <v>123</v>
      </c>
      <c r="G16" s="3" t="s">
        <v>85</v>
      </c>
      <c r="H16" s="3"/>
      <c r="I16" s="3" t="s">
        <v>20</v>
      </c>
      <c r="J16" s="3" t="s">
        <v>103</v>
      </c>
      <c r="K16" s="3" t="s">
        <v>86</v>
      </c>
      <c r="L16" s="3" t="s">
        <v>124</v>
      </c>
      <c r="M16" s="3"/>
      <c r="N16" s="3">
        <v>0</v>
      </c>
      <c r="O16" s="3">
        <v>5</v>
      </c>
      <c r="P16" s="3"/>
      <c r="Q16" s="3" t="s">
        <v>125</v>
      </c>
    </row>
    <row r="17" spans="1:17" ht="28.5">
      <c r="A17" s="3">
        <v>2</v>
      </c>
      <c r="B17" s="5"/>
      <c r="C17" s="3" t="s">
        <v>23</v>
      </c>
      <c r="D17" s="3" t="s">
        <v>126</v>
      </c>
      <c r="E17" s="3" t="s">
        <v>101</v>
      </c>
      <c r="F17" s="3" t="s">
        <v>127</v>
      </c>
      <c r="G17" s="3" t="s">
        <v>85</v>
      </c>
      <c r="H17" s="3"/>
      <c r="I17" s="3" t="s">
        <v>20</v>
      </c>
      <c r="J17" s="3" t="s">
        <v>103</v>
      </c>
      <c r="K17" s="3" t="s">
        <v>86</v>
      </c>
      <c r="L17" s="3" t="s">
        <v>128</v>
      </c>
      <c r="M17" s="3"/>
      <c r="N17" s="3">
        <v>0</v>
      </c>
      <c r="O17" s="3">
        <v>5</v>
      </c>
      <c r="P17" s="3"/>
      <c r="Q17" s="3" t="s">
        <v>129</v>
      </c>
    </row>
    <row r="18" spans="1:17" ht="28.5">
      <c r="A18" s="3">
        <v>2</v>
      </c>
      <c r="B18" s="5"/>
      <c r="C18" s="3" t="s">
        <v>23</v>
      </c>
      <c r="D18" s="3" t="s">
        <v>130</v>
      </c>
      <c r="E18" s="3" t="s">
        <v>101</v>
      </c>
      <c r="F18" s="3" t="s">
        <v>131</v>
      </c>
      <c r="G18" s="3" t="s">
        <v>91</v>
      </c>
      <c r="H18" s="3"/>
      <c r="I18" s="3" t="s">
        <v>20</v>
      </c>
      <c r="J18" s="3" t="s">
        <v>103</v>
      </c>
      <c r="K18" s="3" t="s">
        <v>86</v>
      </c>
      <c r="L18" s="3" t="s">
        <v>132</v>
      </c>
      <c r="M18" s="3"/>
      <c r="N18" s="3">
        <v>0</v>
      </c>
      <c r="O18" s="3">
        <v>5</v>
      </c>
      <c r="P18" s="3"/>
      <c r="Q18" s="3" t="s">
        <v>133</v>
      </c>
    </row>
    <row r="19" spans="1:17" ht="15">
      <c r="A19" s="3">
        <v>3</v>
      </c>
      <c r="B19" s="5"/>
      <c r="C19" s="3" t="s">
        <v>23</v>
      </c>
      <c r="D19" s="3" t="s">
        <v>134</v>
      </c>
      <c r="E19" s="3" t="s">
        <v>101</v>
      </c>
      <c r="F19" s="3" t="s">
        <v>135</v>
      </c>
      <c r="G19" s="3" t="s">
        <v>91</v>
      </c>
      <c r="H19" s="3" t="s">
        <v>225</v>
      </c>
      <c r="I19" s="3" t="s">
        <v>20</v>
      </c>
      <c r="J19" s="3" t="s">
        <v>103</v>
      </c>
      <c r="K19" s="3" t="s">
        <v>86</v>
      </c>
      <c r="L19" s="3" t="s">
        <v>226</v>
      </c>
      <c r="M19" s="3"/>
      <c r="N19" s="3">
        <v>0</v>
      </c>
      <c r="O19" s="3">
        <v>6</v>
      </c>
      <c r="P19" s="3"/>
      <c r="Q19" s="3"/>
    </row>
    <row r="20" spans="1:17" ht="15">
      <c r="A20" s="3">
        <v>3</v>
      </c>
      <c r="B20" s="5"/>
      <c r="C20" s="3" t="s">
        <v>23</v>
      </c>
      <c r="D20" s="3" t="s">
        <v>136</v>
      </c>
      <c r="E20" s="3" t="s">
        <v>101</v>
      </c>
      <c r="F20" s="3" t="s">
        <v>135</v>
      </c>
      <c r="G20" s="3" t="s">
        <v>91</v>
      </c>
      <c r="H20" s="3" t="s">
        <v>225</v>
      </c>
      <c r="I20" s="3" t="s">
        <v>20</v>
      </c>
      <c r="J20" s="3" t="s">
        <v>103</v>
      </c>
      <c r="K20" s="3" t="s">
        <v>86</v>
      </c>
      <c r="L20" s="3" t="s">
        <v>227</v>
      </c>
      <c r="M20" s="3"/>
      <c r="N20" s="3">
        <v>0</v>
      </c>
      <c r="O20" s="3">
        <v>6</v>
      </c>
      <c r="P20" s="3" t="s">
        <v>236</v>
      </c>
      <c r="Q20" s="3"/>
    </row>
    <row r="21" spans="1:17" ht="15">
      <c r="A21" s="3">
        <v>3</v>
      </c>
      <c r="B21" s="5"/>
      <c r="C21" s="3" t="s">
        <v>23</v>
      </c>
      <c r="D21" s="3" t="s">
        <v>228</v>
      </c>
      <c r="E21" s="3" t="s">
        <v>101</v>
      </c>
      <c r="F21" s="3" t="s">
        <v>135</v>
      </c>
      <c r="G21" s="3" t="s">
        <v>91</v>
      </c>
      <c r="H21" s="3" t="s">
        <v>225</v>
      </c>
      <c r="I21" s="3" t="s">
        <v>20</v>
      </c>
      <c r="J21" s="3"/>
      <c r="K21" s="3" t="s">
        <v>86</v>
      </c>
      <c r="L21" t="s">
        <v>232</v>
      </c>
      <c r="M21" s="3"/>
      <c r="N21" s="3"/>
      <c r="O21" s="3">
        <v>6</v>
      </c>
      <c r="P21" s="3"/>
      <c r="Q21" s="3"/>
    </row>
    <row r="22" spans="1:17" ht="15">
      <c r="A22" s="3">
        <v>3</v>
      </c>
      <c r="B22" s="5"/>
      <c r="C22" s="3" t="s">
        <v>23</v>
      </c>
      <c r="D22" s="3" t="s">
        <v>229</v>
      </c>
      <c r="E22" s="3" t="s">
        <v>101</v>
      </c>
      <c r="F22" s="3" t="s">
        <v>135</v>
      </c>
      <c r="G22" s="3" t="s">
        <v>91</v>
      </c>
      <c r="H22" s="3" t="s">
        <v>225</v>
      </c>
      <c r="I22" s="3" t="s">
        <v>20</v>
      </c>
      <c r="J22" s="3"/>
      <c r="K22" s="3" t="s">
        <v>86</v>
      </c>
      <c r="L22" t="s">
        <v>231</v>
      </c>
      <c r="M22" s="3"/>
      <c r="N22" s="3"/>
      <c r="O22" s="3">
        <v>6</v>
      </c>
      <c r="P22" s="3"/>
      <c r="Q22" s="3"/>
    </row>
    <row r="23" spans="1:17" ht="15">
      <c r="A23" s="3">
        <v>3</v>
      </c>
      <c r="B23" s="5"/>
      <c r="C23" s="3" t="s">
        <v>23</v>
      </c>
      <c r="D23" s="3" t="s">
        <v>230</v>
      </c>
      <c r="E23" s="3" t="s">
        <v>101</v>
      </c>
      <c r="F23" s="3" t="s">
        <v>135</v>
      </c>
      <c r="G23" s="3" t="s">
        <v>91</v>
      </c>
      <c r="H23" s="3" t="s">
        <v>225</v>
      </c>
      <c r="I23" s="3" t="s">
        <v>20</v>
      </c>
      <c r="J23" s="3"/>
      <c r="K23" s="3" t="s">
        <v>86</v>
      </c>
      <c r="L23" t="s">
        <v>233</v>
      </c>
      <c r="M23" s="3"/>
      <c r="N23" s="3"/>
      <c r="O23" s="3">
        <v>6</v>
      </c>
      <c r="P23" s="3"/>
      <c r="Q23" s="3"/>
    </row>
    <row r="24" spans="1:17">
      <c r="A24" s="3"/>
      <c r="B24" s="5"/>
      <c r="C24" s="3"/>
      <c r="D24" s="3"/>
      <c r="E24" s="3"/>
      <c r="F24" s="3"/>
      <c r="G24" s="3"/>
      <c r="H24" s="3"/>
      <c r="I24" s="3"/>
      <c r="J24" s="3"/>
      <c r="K24" s="3"/>
      <c r="L24" s="3"/>
      <c r="M24" s="3"/>
      <c r="N24" s="3"/>
      <c r="O24" s="3"/>
      <c r="P24" s="3"/>
      <c r="Q24" s="3"/>
    </row>
    <row r="25" spans="1:17">
      <c r="A25" s="3"/>
      <c r="B25" s="5"/>
      <c r="C25" s="3"/>
      <c r="D25" s="3"/>
      <c r="E25" s="3"/>
      <c r="F25" s="3"/>
      <c r="G25" s="3"/>
      <c r="H25" s="3"/>
      <c r="I25" s="3"/>
      <c r="J25" s="3"/>
      <c r="K25" s="3"/>
      <c r="L25" s="3"/>
      <c r="M25" s="3"/>
      <c r="N25" s="3"/>
      <c r="O25" s="3"/>
      <c r="P25" s="3"/>
      <c r="Q25" s="3"/>
    </row>
    <row r="26" spans="1:17">
      <c r="A26" s="3"/>
      <c r="B26" s="5"/>
      <c r="C26" s="3"/>
      <c r="D26" s="3"/>
      <c r="E26" s="3"/>
      <c r="F26" s="3"/>
      <c r="G26" s="3"/>
      <c r="H26" s="3"/>
      <c r="I26" s="3"/>
      <c r="J26" s="3"/>
      <c r="K26" s="3"/>
      <c r="L26" s="3"/>
      <c r="M26" s="3"/>
      <c r="N26" s="3"/>
      <c r="O26" s="3"/>
      <c r="P26" s="3"/>
      <c r="Q26" s="3"/>
    </row>
    <row r="27" spans="1:17">
      <c r="A27" s="3"/>
      <c r="B27" s="5"/>
      <c r="C27" s="3"/>
      <c r="D27" s="3"/>
      <c r="E27" s="3"/>
      <c r="F27" s="3"/>
      <c r="G27" s="3"/>
      <c r="H27" s="3"/>
      <c r="I27" s="3"/>
      <c r="J27" s="3"/>
      <c r="K27" s="3"/>
      <c r="L27" s="3"/>
      <c r="M27" s="3"/>
      <c r="N27" s="3"/>
      <c r="O27" s="3"/>
      <c r="P27" s="3"/>
      <c r="Q27" s="3"/>
    </row>
    <row r="28" spans="1:17">
      <c r="A28" s="3"/>
      <c r="B28" s="5"/>
      <c r="C28" s="3"/>
      <c r="D28" s="3"/>
      <c r="E28" s="3"/>
      <c r="F28" s="3"/>
      <c r="G28" s="3"/>
      <c r="H28" s="3"/>
      <c r="I28" s="3"/>
      <c r="J28" s="3"/>
      <c r="K28" s="3"/>
      <c r="L28" s="3"/>
      <c r="M28" s="3"/>
      <c r="N28" s="3"/>
      <c r="O28" s="3"/>
      <c r="P28" s="3"/>
      <c r="Q28" s="3"/>
    </row>
    <row r="29" spans="1:17">
      <c r="A29" s="3"/>
      <c r="B29" s="5"/>
      <c r="C29" s="3"/>
      <c r="D29" s="3"/>
      <c r="E29" s="3"/>
      <c r="F29" s="3"/>
      <c r="G29" s="3"/>
      <c r="H29" s="3"/>
      <c r="I29" s="3"/>
      <c r="J29" s="3"/>
      <c r="K29" s="3"/>
      <c r="L29" s="3"/>
      <c r="M29" s="3"/>
      <c r="N29" s="3"/>
      <c r="O29" s="3"/>
      <c r="P29" s="3"/>
      <c r="Q29" s="3"/>
    </row>
    <row r="30" spans="1:17">
      <c r="A30" s="3"/>
      <c r="B30" s="5"/>
      <c r="C30" s="3"/>
      <c r="D30" s="3"/>
      <c r="E30" s="3"/>
      <c r="F30" s="3"/>
      <c r="G30" s="3"/>
      <c r="H30" s="3"/>
      <c r="I30" s="3"/>
      <c r="J30" s="3"/>
      <c r="K30" s="3"/>
      <c r="L30" s="3"/>
      <c r="M30" s="3"/>
      <c r="N30" s="3"/>
      <c r="O30" s="3"/>
      <c r="P30" s="3"/>
      <c r="Q30" s="3"/>
    </row>
    <row r="31" spans="1:17">
      <c r="A31" s="3"/>
      <c r="B31" s="5"/>
      <c r="C31" s="3"/>
      <c r="D31" s="3"/>
      <c r="E31" s="3"/>
      <c r="F31" s="3"/>
      <c r="G31" s="3"/>
      <c r="H31" s="3"/>
      <c r="I31" s="3"/>
      <c r="J31" s="3"/>
      <c r="K31" s="3"/>
      <c r="L31" s="3"/>
      <c r="M31" s="3"/>
      <c r="N31" s="3"/>
      <c r="O31" s="3"/>
      <c r="P31" s="3"/>
      <c r="Q31" s="3"/>
    </row>
    <row r="32" spans="1:17">
      <c r="A32" s="3"/>
      <c r="B32" s="5"/>
      <c r="C32" s="3"/>
      <c r="D32" s="3"/>
      <c r="E32" s="3"/>
      <c r="F32" s="3"/>
      <c r="G32" s="3"/>
      <c r="H32" s="3"/>
      <c r="I32" s="3"/>
      <c r="J32" s="3"/>
      <c r="K32" s="3"/>
      <c r="L32" s="3"/>
      <c r="M32" s="3"/>
      <c r="N32" s="3"/>
      <c r="O32" s="3"/>
      <c r="P32" s="3"/>
      <c r="Q32" s="3"/>
    </row>
    <row r="33" spans="1:17">
      <c r="A33" s="3"/>
      <c r="B33" s="5"/>
      <c r="C33" s="3"/>
      <c r="D33" s="3"/>
      <c r="E33" s="3"/>
      <c r="F33" s="3"/>
      <c r="G33" s="3"/>
      <c r="H33" s="3"/>
      <c r="I33" s="3"/>
      <c r="J33" s="3"/>
      <c r="K33" s="3"/>
      <c r="L33" s="3"/>
      <c r="M33" s="3"/>
      <c r="N33" s="3"/>
      <c r="O33" s="3"/>
      <c r="P33" s="3"/>
      <c r="Q33" s="3"/>
    </row>
    <row r="34" spans="1:17">
      <c r="A34" s="3"/>
      <c r="B34" s="5"/>
      <c r="C34" s="3"/>
      <c r="D34" s="3"/>
      <c r="E34" s="3"/>
      <c r="F34" s="3"/>
      <c r="G34" s="3"/>
      <c r="H34" s="3"/>
      <c r="I34" s="3"/>
      <c r="J34" s="3"/>
      <c r="K34" s="3"/>
      <c r="L34" s="3"/>
      <c r="M34" s="3"/>
      <c r="N34" s="3"/>
      <c r="O34" s="3"/>
      <c r="P34" s="3"/>
      <c r="Q34" s="3"/>
    </row>
    <row r="35" spans="1:17">
      <c r="A35" s="3"/>
      <c r="B35" s="5"/>
      <c r="C35" s="3"/>
      <c r="D35" s="3"/>
      <c r="E35" s="3"/>
      <c r="F35" s="3"/>
      <c r="G35" s="3"/>
      <c r="H35" s="3"/>
      <c r="I35" s="3"/>
      <c r="J35" s="3"/>
      <c r="K35" s="3"/>
      <c r="L35" s="3"/>
      <c r="M35" s="3"/>
      <c r="N35" s="3"/>
      <c r="O35" s="3"/>
      <c r="P35" s="3"/>
      <c r="Q35" s="3"/>
    </row>
    <row r="36" spans="1:17">
      <c r="A36" s="3"/>
      <c r="B36" s="5"/>
      <c r="C36" s="3"/>
      <c r="D36" s="3"/>
      <c r="E36" s="3"/>
      <c r="F36" s="3"/>
      <c r="G36" s="3"/>
      <c r="H36" s="3"/>
      <c r="I36" s="3"/>
      <c r="J36" s="3"/>
      <c r="K36" s="3"/>
      <c r="L36" s="3"/>
      <c r="M36" s="3"/>
      <c r="N36" s="3"/>
      <c r="O36" s="3"/>
      <c r="P36" s="3"/>
      <c r="Q36" s="3"/>
    </row>
    <row r="37" spans="1:17">
      <c r="A37" s="3"/>
      <c r="B37" s="5"/>
      <c r="C37" s="3"/>
      <c r="D37" s="3"/>
      <c r="E37" s="3"/>
      <c r="F37" s="3"/>
      <c r="G37" s="3"/>
      <c r="H37" s="3"/>
      <c r="I37" s="3"/>
      <c r="J37" s="3"/>
      <c r="K37" s="3"/>
      <c r="L37" s="3"/>
      <c r="M37" s="3"/>
      <c r="N37" s="3"/>
      <c r="O37" s="3"/>
      <c r="P37" s="3"/>
      <c r="Q37" s="3"/>
    </row>
    <row r="38" spans="1:17">
      <c r="A38" s="3"/>
      <c r="B38" s="5"/>
      <c r="C38" s="3"/>
      <c r="D38" s="3"/>
      <c r="E38" s="3"/>
      <c r="F38" s="3"/>
      <c r="G38" s="3"/>
      <c r="H38" s="3"/>
      <c r="I38" s="3"/>
      <c r="J38" s="3"/>
      <c r="K38" s="3"/>
      <c r="L38" s="3"/>
      <c r="M38" s="3"/>
      <c r="N38" s="3"/>
      <c r="O38" s="3"/>
      <c r="P38" s="3"/>
      <c r="Q38" s="3"/>
    </row>
    <row r="39" spans="1:17">
      <c r="A39" s="3"/>
      <c r="B39" s="5"/>
      <c r="C39" s="3"/>
      <c r="D39" s="3"/>
      <c r="E39" s="3"/>
      <c r="F39" s="3"/>
      <c r="G39" s="3"/>
      <c r="H39" s="3"/>
      <c r="I39" s="3"/>
      <c r="J39" s="3"/>
      <c r="K39" s="3"/>
      <c r="L39" s="3"/>
      <c r="M39" s="3"/>
      <c r="N39" s="3"/>
      <c r="O39" s="3"/>
      <c r="P39" s="3"/>
      <c r="Q39" s="3"/>
    </row>
    <row r="40" spans="1:17">
      <c r="A40" s="3"/>
      <c r="B40" s="5"/>
      <c r="C40" s="3"/>
      <c r="D40" s="3"/>
      <c r="E40" s="3"/>
      <c r="F40" s="3"/>
      <c r="G40" s="3"/>
      <c r="H40" s="3"/>
      <c r="I40" s="3"/>
      <c r="J40" s="3"/>
      <c r="K40" s="3"/>
      <c r="L40" s="3"/>
      <c r="M40" s="3"/>
      <c r="N40" s="3"/>
      <c r="O40" s="3"/>
      <c r="P40" s="3"/>
      <c r="Q40" s="3"/>
    </row>
    <row r="41" spans="1:17">
      <c r="A41" s="3"/>
      <c r="B41" s="5"/>
      <c r="C41" s="3"/>
      <c r="D41" s="3"/>
      <c r="E41" s="3"/>
      <c r="F41" s="3"/>
      <c r="G41" s="3"/>
      <c r="H41" s="3"/>
      <c r="I41" s="3"/>
      <c r="J41" s="3"/>
      <c r="K41" s="3"/>
      <c r="L41" s="3"/>
      <c r="M41" s="3"/>
      <c r="N41" s="3"/>
      <c r="O41" s="3"/>
      <c r="P41" s="3"/>
      <c r="Q41" s="3"/>
    </row>
    <row r="42" spans="1:17">
      <c r="A42" s="3"/>
      <c r="B42" s="5"/>
      <c r="C42" s="3"/>
      <c r="D42" s="3"/>
      <c r="E42" s="3"/>
      <c r="F42" s="3"/>
      <c r="G42" s="3"/>
      <c r="H42" s="3"/>
      <c r="I42" s="3"/>
      <c r="J42" s="3"/>
      <c r="K42" s="3"/>
      <c r="L42" s="3"/>
      <c r="M42" s="3"/>
      <c r="N42" s="3"/>
      <c r="O42" s="3"/>
      <c r="P42" s="3"/>
      <c r="Q42" s="3"/>
    </row>
    <row r="43" spans="1:17">
      <c r="A43" s="3"/>
      <c r="B43" s="5"/>
      <c r="C43" s="3"/>
      <c r="D43" s="3"/>
      <c r="E43" s="3"/>
      <c r="F43" s="3"/>
      <c r="G43" s="3"/>
      <c r="H43" s="3"/>
      <c r="I43" s="3"/>
      <c r="J43" s="3"/>
      <c r="K43" s="3"/>
      <c r="L43" s="3"/>
      <c r="M43" s="3"/>
      <c r="N43" s="3"/>
      <c r="O43" s="3"/>
      <c r="P43" s="3"/>
      <c r="Q43" s="3"/>
    </row>
    <row r="44" spans="1:17">
      <c r="A44" s="3"/>
      <c r="B44" s="5"/>
      <c r="C44" s="3"/>
      <c r="D44" s="3"/>
      <c r="E44" s="3"/>
      <c r="F44" s="3"/>
      <c r="G44" s="3"/>
      <c r="H44" s="3"/>
      <c r="I44" s="3"/>
      <c r="J44" s="3"/>
      <c r="K44" s="3"/>
      <c r="L44" s="3"/>
      <c r="M44" s="3"/>
      <c r="N44" s="3"/>
      <c r="O44" s="3"/>
      <c r="P44" s="3"/>
      <c r="Q44" s="3"/>
    </row>
    <row r="45" spans="1:17">
      <c r="A45" s="3"/>
      <c r="B45" s="5"/>
      <c r="C45" s="3"/>
      <c r="D45" s="3"/>
      <c r="E45" s="3"/>
      <c r="F45" s="3"/>
      <c r="G45" s="3"/>
      <c r="H45" s="3"/>
      <c r="I45" s="3"/>
      <c r="J45" s="3"/>
      <c r="K45" s="3"/>
      <c r="L45" s="3"/>
      <c r="M45" s="3"/>
      <c r="N45" s="3"/>
      <c r="O45" s="3"/>
      <c r="P45" s="3"/>
      <c r="Q45" s="3"/>
    </row>
    <row r="46" spans="1:17">
      <c r="A46" s="3"/>
      <c r="B46" s="5"/>
      <c r="C46" s="3"/>
      <c r="D46" s="3"/>
      <c r="E46" s="3"/>
      <c r="F46" s="3"/>
      <c r="G46" s="3"/>
      <c r="H46" s="3"/>
      <c r="I46" s="3"/>
      <c r="J46" s="3"/>
      <c r="K46" s="3"/>
      <c r="L46" s="3"/>
      <c r="M46" s="3"/>
      <c r="N46" s="3"/>
      <c r="O46" s="3"/>
      <c r="P46" s="3"/>
      <c r="Q46" s="3"/>
    </row>
    <row r="47" spans="1:17">
      <c r="A47" s="3"/>
      <c r="B47" s="5"/>
      <c r="C47" s="3"/>
      <c r="D47" s="3"/>
      <c r="E47" s="3"/>
      <c r="F47" s="3"/>
      <c r="G47" s="3"/>
      <c r="H47" s="3"/>
      <c r="I47" s="3"/>
      <c r="J47" s="3"/>
      <c r="K47" s="3"/>
      <c r="L47" s="3"/>
      <c r="M47" s="3"/>
      <c r="N47" s="3"/>
      <c r="O47" s="3"/>
      <c r="P47" s="3"/>
      <c r="Q47" s="3"/>
    </row>
    <row r="48" spans="1:17">
      <c r="A48" s="3"/>
      <c r="B48" s="5"/>
      <c r="C48" s="3"/>
      <c r="D48" s="3"/>
      <c r="E48" s="3"/>
      <c r="F48" s="3"/>
      <c r="G48" s="3"/>
      <c r="H48" s="3"/>
      <c r="I48" s="3"/>
      <c r="J48" s="3"/>
      <c r="K48" s="3"/>
      <c r="L48" s="3"/>
      <c r="M48" s="3"/>
      <c r="N48" s="3"/>
      <c r="O48" s="3"/>
      <c r="P48" s="3"/>
      <c r="Q48" s="3"/>
    </row>
    <row r="49" spans="1:17">
      <c r="A49" s="3"/>
      <c r="B49" s="5"/>
      <c r="C49" s="3"/>
      <c r="D49" s="3"/>
      <c r="E49" s="3"/>
      <c r="F49" s="3"/>
      <c r="G49" s="3"/>
      <c r="H49" s="3"/>
      <c r="I49" s="3"/>
      <c r="J49" s="3"/>
      <c r="K49" s="3"/>
      <c r="L49" s="3"/>
      <c r="M49" s="3"/>
      <c r="N49" s="3"/>
      <c r="O49" s="3"/>
      <c r="P49" s="3"/>
      <c r="Q49" s="3"/>
    </row>
    <row r="50" spans="1:17">
      <c r="A50" s="3"/>
      <c r="B50" s="5"/>
      <c r="C50" s="3"/>
      <c r="D50" s="3"/>
      <c r="E50" s="3"/>
      <c r="F50" s="3"/>
      <c r="G50" s="3"/>
      <c r="H50" s="3"/>
      <c r="I50" s="3"/>
      <c r="J50" s="3"/>
      <c r="K50" s="3"/>
      <c r="L50" s="3"/>
      <c r="M50" s="3"/>
      <c r="N50" s="3"/>
      <c r="O50" s="3"/>
      <c r="P50" s="3"/>
      <c r="Q50" s="3"/>
    </row>
    <row r="51" spans="1:17">
      <c r="A51" s="3"/>
      <c r="B51" s="5"/>
      <c r="C51" s="3"/>
      <c r="D51" s="3"/>
      <c r="E51" s="3"/>
      <c r="F51" s="3"/>
      <c r="G51" s="3"/>
      <c r="H51" s="3"/>
      <c r="I51" s="3"/>
      <c r="J51" s="3"/>
      <c r="K51" s="3"/>
      <c r="L51" s="3"/>
      <c r="M51" s="3"/>
      <c r="N51" s="3"/>
      <c r="O51" s="3"/>
      <c r="P51" s="3"/>
      <c r="Q51" s="3"/>
    </row>
    <row r="52" spans="1:17">
      <c r="A52" s="3"/>
      <c r="B52" s="5"/>
      <c r="C52" s="3"/>
      <c r="D52" s="3"/>
      <c r="E52" s="3"/>
      <c r="F52" s="3"/>
      <c r="G52" s="3"/>
      <c r="H52" s="3"/>
      <c r="I52" s="3"/>
      <c r="J52" s="3"/>
      <c r="K52" s="3"/>
      <c r="L52" s="3"/>
      <c r="M52" s="3"/>
      <c r="N52" s="3"/>
      <c r="O52" s="3"/>
      <c r="P52" s="3"/>
      <c r="Q52" s="3"/>
    </row>
    <row r="53" spans="1:17">
      <c r="A53" s="3"/>
      <c r="B53" s="5"/>
      <c r="C53" s="3"/>
      <c r="D53" s="3"/>
      <c r="E53" s="3"/>
      <c r="F53" s="3"/>
      <c r="G53" s="3"/>
      <c r="H53" s="3"/>
      <c r="I53" s="3"/>
      <c r="J53" s="3"/>
      <c r="K53" s="3"/>
      <c r="L53" s="3"/>
      <c r="M53" s="3"/>
      <c r="N53" s="3"/>
      <c r="O53" s="3"/>
      <c r="P53" s="3"/>
      <c r="Q53" s="3"/>
    </row>
    <row r="54" spans="1:17">
      <c r="A54" s="3"/>
      <c r="B54" s="5"/>
      <c r="C54" s="3"/>
      <c r="D54" s="3"/>
      <c r="E54" s="3"/>
      <c r="F54" s="3"/>
      <c r="G54" s="3"/>
      <c r="H54" s="3"/>
      <c r="I54" s="3"/>
      <c r="J54" s="3"/>
      <c r="K54" s="3"/>
      <c r="L54" s="3"/>
      <c r="M54" s="3"/>
      <c r="N54" s="3"/>
      <c r="O54" s="3"/>
      <c r="P54" s="3"/>
      <c r="Q54" s="3"/>
    </row>
    <row r="55" spans="1:17">
      <c r="A55" s="3"/>
      <c r="B55" s="5"/>
      <c r="C55" s="3"/>
      <c r="D55" s="3"/>
      <c r="E55" s="3"/>
      <c r="F55" s="3"/>
      <c r="G55" s="3"/>
      <c r="H55" s="3"/>
      <c r="I55" s="3"/>
      <c r="J55" s="3"/>
      <c r="K55" s="3"/>
      <c r="L55" s="3"/>
      <c r="M55" s="3"/>
      <c r="N55" s="3"/>
      <c r="O55" s="3"/>
      <c r="P55" s="3"/>
      <c r="Q55" s="3"/>
    </row>
    <row r="56" spans="1:17">
      <c r="A56" s="3"/>
      <c r="B56" s="5"/>
      <c r="C56" s="3"/>
      <c r="D56" s="3"/>
      <c r="E56" s="3"/>
      <c r="F56" s="3"/>
      <c r="G56" s="3"/>
      <c r="H56" s="3"/>
      <c r="I56" s="3"/>
      <c r="J56" s="3"/>
      <c r="K56" s="3"/>
      <c r="L56" s="3"/>
      <c r="M56" s="3"/>
      <c r="N56" s="3"/>
      <c r="O56" s="3"/>
      <c r="P56" s="3"/>
      <c r="Q56" s="3"/>
    </row>
    <row r="57" spans="1:17">
      <c r="A57" s="3"/>
      <c r="B57" s="5"/>
      <c r="C57" s="3"/>
      <c r="D57" s="3"/>
      <c r="E57" s="3"/>
      <c r="F57" s="3"/>
      <c r="G57" s="3"/>
      <c r="H57" s="3"/>
      <c r="I57" s="3"/>
      <c r="J57" s="3"/>
      <c r="K57" s="3"/>
      <c r="L57" s="3"/>
      <c r="M57" s="3"/>
      <c r="N57" s="3"/>
      <c r="O57" s="3"/>
      <c r="P57" s="3"/>
      <c r="Q57" s="3"/>
    </row>
    <row r="58" spans="1:17">
      <c r="A58" s="3"/>
      <c r="B58" s="5"/>
      <c r="C58" s="3"/>
      <c r="D58" s="3"/>
      <c r="E58" s="3"/>
      <c r="F58" s="3"/>
      <c r="G58" s="3"/>
      <c r="H58" s="3"/>
      <c r="I58" s="3"/>
      <c r="J58" s="3"/>
      <c r="K58" s="3"/>
      <c r="L58" s="3"/>
      <c r="M58" s="3"/>
      <c r="N58" s="3"/>
      <c r="O58" s="3"/>
      <c r="P58" s="3"/>
      <c r="Q58" s="3"/>
    </row>
    <row r="59" spans="1:17">
      <c r="A59" s="3"/>
      <c r="B59" s="5"/>
      <c r="C59" s="3"/>
      <c r="D59" s="3"/>
      <c r="E59" s="3"/>
      <c r="F59" s="3"/>
      <c r="G59" s="3"/>
      <c r="H59" s="3"/>
      <c r="I59" s="3"/>
      <c r="J59" s="3"/>
      <c r="K59" s="3"/>
      <c r="L59" s="3"/>
      <c r="M59" s="3"/>
      <c r="N59" s="3"/>
      <c r="O59" s="3"/>
      <c r="P59" s="3"/>
      <c r="Q59" s="3"/>
    </row>
    <row r="60" spans="1:17">
      <c r="A60" s="3"/>
      <c r="B60" s="5"/>
      <c r="C60" s="3"/>
      <c r="D60" s="3"/>
      <c r="E60" s="3"/>
      <c r="F60" s="3"/>
      <c r="G60" s="3"/>
      <c r="H60" s="3"/>
      <c r="I60" s="3"/>
      <c r="J60" s="3"/>
      <c r="K60" s="3"/>
      <c r="L60" s="3"/>
      <c r="M60" s="3"/>
      <c r="N60" s="3"/>
      <c r="O60" s="3"/>
      <c r="P60" s="3"/>
      <c r="Q60" s="3"/>
    </row>
    <row r="61" spans="1:17">
      <c r="A61" s="3"/>
      <c r="B61" s="5"/>
      <c r="C61" s="3"/>
      <c r="D61" s="3"/>
      <c r="E61" s="3"/>
      <c r="F61" s="3"/>
      <c r="G61" s="3"/>
      <c r="H61" s="3"/>
      <c r="I61" s="3"/>
      <c r="J61" s="3"/>
      <c r="K61" s="3"/>
      <c r="L61" s="3"/>
      <c r="M61" s="3"/>
      <c r="N61" s="3"/>
      <c r="O61" s="3"/>
      <c r="P61" s="3"/>
      <c r="Q61" s="3"/>
    </row>
    <row r="62" spans="1:17">
      <c r="A62" s="3"/>
      <c r="B62" s="5"/>
      <c r="C62" s="3"/>
      <c r="D62" s="3"/>
      <c r="E62" s="3"/>
      <c r="F62" s="3"/>
      <c r="G62" s="3"/>
      <c r="H62" s="3"/>
      <c r="I62" s="3"/>
      <c r="J62" s="3"/>
      <c r="K62" s="3"/>
      <c r="L62" s="3"/>
      <c r="M62" s="3"/>
      <c r="N62" s="3"/>
      <c r="O62" s="3"/>
      <c r="P62" s="3"/>
      <c r="Q62" s="3"/>
    </row>
    <row r="63" spans="1:17">
      <c r="A63" s="3"/>
      <c r="B63" s="5"/>
      <c r="C63" s="3"/>
      <c r="D63" s="3"/>
      <c r="E63" s="3"/>
      <c r="F63" s="3"/>
      <c r="G63" s="3"/>
      <c r="H63" s="3"/>
      <c r="I63" s="3"/>
      <c r="J63" s="3"/>
      <c r="K63" s="3"/>
      <c r="L63" s="3"/>
      <c r="M63" s="3"/>
      <c r="N63" s="3"/>
      <c r="O63" s="3"/>
      <c r="P63" s="3"/>
      <c r="Q63" s="3"/>
    </row>
    <row r="64" spans="1:17">
      <c r="A64" s="3"/>
      <c r="B64" s="5"/>
      <c r="C64" s="3"/>
      <c r="D64" s="3"/>
      <c r="E64" s="3"/>
      <c r="F64" s="3"/>
      <c r="G64" s="3"/>
      <c r="H64" s="3"/>
      <c r="I64" s="3"/>
      <c r="J64" s="3"/>
      <c r="K64" s="3"/>
      <c r="L64" s="3"/>
      <c r="M64" s="3"/>
      <c r="N64" s="3"/>
      <c r="O64" s="3"/>
      <c r="P64" s="3"/>
      <c r="Q64" s="3"/>
    </row>
    <row r="65" spans="1:17">
      <c r="A65" s="3"/>
      <c r="B65" s="5"/>
      <c r="C65" s="3"/>
      <c r="D65" s="3"/>
      <c r="E65" s="3"/>
      <c r="F65" s="3"/>
      <c r="G65" s="3"/>
      <c r="H65" s="3"/>
      <c r="I65" s="3"/>
      <c r="J65" s="3"/>
      <c r="K65" s="3"/>
      <c r="L65" s="3"/>
      <c r="M65" s="3"/>
      <c r="N65" s="3"/>
      <c r="O65" s="3"/>
      <c r="P65" s="3"/>
      <c r="Q65" s="3"/>
    </row>
    <row r="66" spans="1:17">
      <c r="A66" s="3"/>
      <c r="B66" s="5"/>
      <c r="C66" s="3"/>
      <c r="D66" s="3"/>
      <c r="E66" s="3"/>
      <c r="F66" s="3"/>
      <c r="G66" s="3"/>
      <c r="H66" s="3"/>
      <c r="I66" s="3"/>
      <c r="J66" s="3"/>
      <c r="K66" s="3"/>
      <c r="L66" s="3"/>
      <c r="M66" s="3"/>
      <c r="N66" s="3"/>
      <c r="O66" s="3"/>
      <c r="P66" s="3"/>
      <c r="Q66" s="3"/>
    </row>
    <row r="67" spans="1:17">
      <c r="A67" s="3"/>
      <c r="B67" s="5"/>
      <c r="C67" s="3"/>
      <c r="D67" s="3"/>
      <c r="E67" s="3"/>
      <c r="F67" s="3"/>
      <c r="G67" s="3"/>
      <c r="H67" s="3"/>
      <c r="I67" s="3"/>
      <c r="J67" s="3"/>
      <c r="K67" s="3"/>
      <c r="L67" s="3"/>
      <c r="M67" s="3"/>
      <c r="N67" s="3"/>
      <c r="O67" s="3"/>
      <c r="P67" s="3"/>
      <c r="Q67" s="3"/>
    </row>
    <row r="68" spans="1:17">
      <c r="A68" s="3"/>
      <c r="B68" s="5"/>
      <c r="C68" s="3"/>
      <c r="D68" s="3"/>
      <c r="E68" s="3"/>
      <c r="F68" s="3"/>
      <c r="G68" s="3"/>
      <c r="H68" s="3"/>
      <c r="I68" s="3"/>
      <c r="J68" s="3"/>
      <c r="K68" s="3"/>
      <c r="L68" s="3"/>
      <c r="M68" s="3"/>
      <c r="N68" s="3"/>
      <c r="O68" s="3"/>
      <c r="P68" s="3"/>
      <c r="Q68" s="3"/>
    </row>
    <row r="69" spans="1:17">
      <c r="A69" s="3"/>
      <c r="B69" s="5"/>
      <c r="C69" s="3"/>
      <c r="D69" s="3"/>
      <c r="E69" s="3"/>
      <c r="F69" s="3"/>
      <c r="G69" s="3"/>
      <c r="H69" s="3"/>
      <c r="I69" s="3"/>
      <c r="J69" s="3"/>
      <c r="K69" s="3"/>
      <c r="L69" s="3"/>
      <c r="M69" s="3"/>
      <c r="N69" s="3"/>
      <c r="O69" s="3"/>
      <c r="P69" s="3"/>
      <c r="Q69" s="3"/>
    </row>
    <row r="70" spans="1:17">
      <c r="A70" s="3"/>
      <c r="B70" s="5"/>
      <c r="C70" s="3"/>
      <c r="D70" s="3"/>
      <c r="E70" s="3"/>
      <c r="F70" s="3"/>
      <c r="G70" s="3"/>
      <c r="H70" s="3"/>
      <c r="I70" s="3"/>
      <c r="J70" s="3"/>
      <c r="K70" s="3"/>
      <c r="L70" s="3"/>
      <c r="M70" s="3"/>
      <c r="N70" s="3"/>
      <c r="O70" s="3"/>
      <c r="P70" s="3"/>
      <c r="Q70" s="3"/>
    </row>
    <row r="71" spans="1:17">
      <c r="A71" s="3"/>
      <c r="B71" s="5"/>
      <c r="C71" s="3"/>
      <c r="D71" s="3"/>
      <c r="E71" s="3"/>
      <c r="F71" s="3"/>
      <c r="G71" s="3"/>
      <c r="H71" s="3"/>
      <c r="I71" s="3"/>
      <c r="J71" s="3"/>
      <c r="K71" s="3"/>
      <c r="L71" s="3"/>
      <c r="M71" s="3"/>
      <c r="N71" s="3"/>
      <c r="O71" s="3"/>
      <c r="P71" s="3"/>
      <c r="Q71" s="3"/>
    </row>
    <row r="72" spans="1:17">
      <c r="A72" s="3"/>
      <c r="B72" s="5"/>
      <c r="C72" s="3"/>
      <c r="D72" s="3"/>
      <c r="E72" s="3"/>
      <c r="F72" s="3"/>
      <c r="G72" s="3"/>
      <c r="H72" s="3"/>
      <c r="I72" s="3"/>
      <c r="J72" s="3"/>
      <c r="K72" s="3"/>
      <c r="L72" s="3"/>
      <c r="M72" s="3"/>
      <c r="N72" s="3"/>
      <c r="O72" s="3"/>
      <c r="P72" s="3"/>
      <c r="Q72" s="3"/>
    </row>
    <row r="73" spans="1:17">
      <c r="A73" s="3"/>
      <c r="B73" s="5"/>
      <c r="C73" s="3"/>
      <c r="D73" s="3"/>
      <c r="E73" s="3"/>
      <c r="F73" s="3"/>
      <c r="G73" s="3"/>
      <c r="H73" s="3"/>
      <c r="I73" s="3"/>
      <c r="J73" s="3"/>
      <c r="K73" s="3"/>
      <c r="L73" s="3"/>
      <c r="M73" s="3"/>
      <c r="N73" s="3"/>
      <c r="O73" s="3"/>
      <c r="P73" s="3"/>
      <c r="Q73" s="3"/>
    </row>
    <row r="74" spans="1:17">
      <c r="A74" s="3"/>
      <c r="B74" s="5"/>
      <c r="C74" s="3"/>
      <c r="D74" s="3"/>
      <c r="E74" s="3"/>
      <c r="F74" s="3"/>
      <c r="G74" s="3"/>
      <c r="H74" s="3"/>
      <c r="I74" s="3"/>
      <c r="J74" s="3"/>
      <c r="K74" s="3"/>
      <c r="L74" s="3"/>
      <c r="M74" s="3"/>
      <c r="N74" s="3"/>
      <c r="O74" s="3"/>
      <c r="P74" s="3"/>
      <c r="Q74" s="3"/>
    </row>
    <row r="75" spans="1:17">
      <c r="A75" s="3"/>
      <c r="B75" s="5"/>
      <c r="C75" s="3"/>
      <c r="D75" s="3"/>
      <c r="E75" s="3"/>
      <c r="F75" s="3"/>
      <c r="G75" s="3"/>
      <c r="H75" s="3"/>
      <c r="I75" s="3"/>
      <c r="J75" s="3"/>
      <c r="K75" s="3"/>
      <c r="L75" s="3"/>
      <c r="M75" s="3"/>
      <c r="N75" s="3"/>
      <c r="O75" s="3"/>
      <c r="P75" s="3"/>
      <c r="Q75" s="3"/>
    </row>
    <row r="76" spans="1:17">
      <c r="A76" s="3"/>
      <c r="B76" s="5"/>
      <c r="C76" s="3"/>
      <c r="D76" s="3"/>
      <c r="E76" s="3"/>
      <c r="F76" s="3"/>
      <c r="G76" s="3"/>
      <c r="H76" s="3"/>
      <c r="I76" s="3"/>
      <c r="J76" s="3"/>
      <c r="K76" s="3"/>
      <c r="L76" s="3"/>
      <c r="M76" s="3"/>
      <c r="N76" s="3"/>
      <c r="O76" s="3"/>
      <c r="P76" s="3"/>
      <c r="Q76" s="3"/>
    </row>
    <row r="77" spans="1:17">
      <c r="A77" s="3"/>
      <c r="B77" s="5"/>
      <c r="C77" s="3"/>
      <c r="D77" s="3"/>
      <c r="E77" s="3"/>
      <c r="F77" s="3"/>
      <c r="G77" s="3"/>
      <c r="H77" s="3"/>
      <c r="I77" s="3"/>
      <c r="J77" s="3"/>
      <c r="K77" s="3"/>
      <c r="L77" s="3"/>
      <c r="M77" s="3"/>
      <c r="N77" s="3"/>
      <c r="O77" s="3"/>
      <c r="P77" s="3"/>
      <c r="Q77" s="3"/>
    </row>
    <row r="78" spans="1:17">
      <c r="A78" s="3"/>
      <c r="B78" s="5"/>
      <c r="C78" s="3"/>
      <c r="D78" s="3"/>
      <c r="E78" s="3"/>
      <c r="F78" s="3"/>
      <c r="G78" s="3"/>
      <c r="H78" s="3"/>
      <c r="I78" s="3"/>
      <c r="J78" s="3"/>
      <c r="K78" s="3"/>
      <c r="L78" s="3"/>
      <c r="M78" s="3"/>
      <c r="N78" s="3"/>
      <c r="O78" s="3"/>
      <c r="P78" s="3"/>
      <c r="Q78" s="3"/>
    </row>
    <row r="79" spans="1:17">
      <c r="A79" s="3"/>
      <c r="B79" s="5"/>
      <c r="C79" s="3"/>
      <c r="D79" s="3"/>
      <c r="E79" s="3"/>
      <c r="F79" s="3"/>
      <c r="G79" s="3"/>
      <c r="H79" s="3"/>
      <c r="I79" s="3"/>
      <c r="J79" s="3"/>
      <c r="K79" s="3"/>
      <c r="L79" s="3"/>
      <c r="M79" s="3"/>
      <c r="N79" s="3"/>
      <c r="O79" s="3"/>
      <c r="P79" s="3"/>
      <c r="Q79" s="3"/>
    </row>
    <row r="80" spans="1:17">
      <c r="A80" s="3"/>
      <c r="B80" s="5"/>
      <c r="C80" s="3"/>
      <c r="D80" s="3"/>
      <c r="E80" s="3"/>
      <c r="F80" s="3"/>
      <c r="G80" s="3"/>
      <c r="H80" s="3"/>
      <c r="I80" s="3"/>
      <c r="J80" s="3"/>
      <c r="K80" s="3"/>
      <c r="L80" s="3"/>
      <c r="M80" s="3"/>
      <c r="N80" s="3"/>
      <c r="O80" s="3"/>
      <c r="P80" s="3"/>
      <c r="Q80" s="3"/>
    </row>
    <row r="81" spans="1:17">
      <c r="A81" s="3"/>
      <c r="B81" s="5"/>
      <c r="C81" s="3"/>
      <c r="D81" s="3"/>
      <c r="E81" s="3"/>
      <c r="F81" s="3"/>
      <c r="G81" s="3"/>
      <c r="H81" s="3"/>
      <c r="I81" s="3"/>
      <c r="J81" s="3"/>
      <c r="K81" s="3"/>
      <c r="L81" s="3"/>
      <c r="M81" s="3"/>
      <c r="N81" s="3"/>
      <c r="O81" s="3"/>
      <c r="P81" s="3"/>
      <c r="Q81" s="3"/>
    </row>
    <row r="82" spans="1:17">
      <c r="A82" s="3"/>
      <c r="B82" s="5"/>
      <c r="C82" s="3"/>
      <c r="D82" s="3"/>
      <c r="E82" s="3"/>
      <c r="F82" s="3"/>
      <c r="G82" s="3"/>
      <c r="H82" s="3"/>
      <c r="I82" s="3"/>
      <c r="J82" s="3"/>
      <c r="K82" s="3"/>
      <c r="L82" s="3"/>
      <c r="M82" s="3"/>
      <c r="N82" s="3"/>
      <c r="O82" s="3"/>
      <c r="P82" s="3"/>
      <c r="Q82" s="3"/>
    </row>
    <row r="83" spans="1:17">
      <c r="A83" s="3"/>
      <c r="B83" s="5"/>
      <c r="C83" s="3"/>
      <c r="D83" s="3"/>
      <c r="E83" s="3"/>
      <c r="F83" s="3"/>
      <c r="G83" s="3"/>
      <c r="H83" s="3"/>
      <c r="I83" s="3"/>
      <c r="J83" s="3"/>
      <c r="K83" s="3"/>
      <c r="L83" s="3"/>
      <c r="M83" s="3"/>
      <c r="N83" s="3"/>
      <c r="O83" s="3"/>
      <c r="P83" s="3"/>
      <c r="Q83" s="3"/>
    </row>
    <row r="84" spans="1:17">
      <c r="A84" s="3"/>
      <c r="B84" s="5"/>
      <c r="C84" s="3"/>
      <c r="D84" s="3"/>
      <c r="E84" s="3"/>
      <c r="F84" s="3"/>
      <c r="G84" s="3"/>
      <c r="H84" s="3"/>
      <c r="I84" s="3"/>
      <c r="J84" s="3"/>
      <c r="K84" s="3"/>
      <c r="L84" s="3"/>
      <c r="M84" s="3"/>
      <c r="N84" s="3"/>
      <c r="O84" s="3"/>
      <c r="P84" s="3"/>
      <c r="Q84" s="3"/>
    </row>
  </sheetData>
  <mergeCells count="1">
    <mergeCell ref="A1:Q2"/>
  </mergeCells>
  <conditionalFormatting sqref="I5:I84">
    <cfRule type="expression" dxfId="3" priority="1">
      <formula>I5="Completed"</formula>
    </cfRule>
    <cfRule type="expression" dxfId="2" priority="2">
      <formula>I5="Needs Revision"</formula>
    </cfRule>
  </conditionalFormatting>
  <dataValidations count="6">
    <dataValidation type="list" sqref="C5:C84" xr:uid="{00000000-0002-0000-0200-000000000000}">
      <formula1>"DSA,SQL"</formula1>
    </dataValidation>
    <dataValidation type="list" sqref="G5:G84" xr:uid="{00000000-0002-0000-0200-000001000000}">
      <formula1>"Easy,Medium,Hard,N/A"</formula1>
    </dataValidation>
    <dataValidation type="list" sqref="H5:H84" xr:uid="{00000000-0002-0000-0200-000002000000}">
      <formula1>"Yes,With Hint,After Solution,No,N/A"</formula1>
    </dataValidation>
    <dataValidation type="list" sqref="I5:I84" xr:uid="{00000000-0002-0000-0200-000003000000}">
      <formula1>"Not Started,In Progress,Completed,Needs Revision"</formula1>
    </dataValidation>
    <dataValidation type="list" sqref="J5:K84" xr:uid="{00000000-0002-0000-0200-000004000000}">
      <formula1>"Yes,Partly,No,N/A"</formula1>
    </dataValidation>
    <dataValidation type="list" sqref="M5:M84" xr:uid="{00000000-0002-0000-0200-000005000000}">
      <formula1>"1,2,3,4,5"</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4"/>
  <sheetViews>
    <sheetView topLeftCell="A4" workbookViewId="0">
      <selection activeCell="L16" sqref="L16"/>
    </sheetView>
  </sheetViews>
  <sheetFormatPr defaultRowHeight="14.25"/>
  <cols>
    <col min="1" max="1" width="7" customWidth="1"/>
    <col min="2" max="2" width="13" customWidth="1"/>
    <col min="3" max="3" width="18" customWidth="1"/>
    <col min="4" max="4" width="34" customWidth="1"/>
    <col min="5" max="5" width="30" customWidth="1"/>
    <col min="6" max="6" width="15" customWidth="1"/>
    <col min="7" max="8" width="14" customWidth="1"/>
    <col min="9" max="9" width="15" customWidth="1"/>
    <col min="10" max="10" width="36" customWidth="1"/>
  </cols>
  <sheetData>
    <row r="1" spans="1:10">
      <c r="A1" s="14" t="s">
        <v>137</v>
      </c>
      <c r="B1" s="14"/>
      <c r="C1" s="14"/>
      <c r="D1" s="14"/>
      <c r="E1" s="14"/>
      <c r="F1" s="14"/>
      <c r="G1" s="14"/>
      <c r="H1" s="14"/>
      <c r="I1" s="14"/>
      <c r="J1" s="14"/>
    </row>
    <row r="2" spans="1:10">
      <c r="A2" s="14"/>
      <c r="B2" s="14"/>
      <c r="C2" s="14"/>
      <c r="D2" s="14"/>
      <c r="E2" s="14"/>
      <c r="F2" s="14"/>
      <c r="G2" s="14"/>
      <c r="H2" s="14"/>
      <c r="I2" s="14"/>
      <c r="J2" s="14"/>
    </row>
    <row r="4" spans="1:10" ht="30">
      <c r="A4" s="1" t="s">
        <v>33</v>
      </c>
      <c r="B4" s="1" t="s">
        <v>34</v>
      </c>
      <c r="C4" s="1" t="s">
        <v>138</v>
      </c>
      <c r="D4" s="1" t="s">
        <v>139</v>
      </c>
      <c r="E4" s="1" t="s">
        <v>140</v>
      </c>
      <c r="F4" s="1" t="s">
        <v>74</v>
      </c>
      <c r="G4" s="1" t="s">
        <v>78</v>
      </c>
      <c r="H4" s="1" t="s">
        <v>80</v>
      </c>
      <c r="I4" s="1" t="s">
        <v>141</v>
      </c>
      <c r="J4" s="1" t="s">
        <v>142</v>
      </c>
    </row>
    <row r="5" spans="1:10" ht="15">
      <c r="A5" s="3">
        <v>1</v>
      </c>
      <c r="B5" s="5"/>
      <c r="C5" s="3" t="s">
        <v>143</v>
      </c>
      <c r="D5" s="3" t="s">
        <v>144</v>
      </c>
      <c r="E5" s="3" t="s">
        <v>145</v>
      </c>
      <c r="F5" s="3" t="s">
        <v>20</v>
      </c>
      <c r="G5" s="3"/>
      <c r="H5" s="3">
        <v>7</v>
      </c>
      <c r="I5" s="3" t="s">
        <v>103</v>
      </c>
      <c r="J5" s="3" t="s">
        <v>146</v>
      </c>
    </row>
    <row r="6" spans="1:10" ht="15">
      <c r="A6" s="3">
        <v>1</v>
      </c>
      <c r="B6" s="5"/>
      <c r="C6" s="3" t="s">
        <v>147</v>
      </c>
      <c r="D6" s="3" t="s">
        <v>148</v>
      </c>
      <c r="E6" s="3" t="s">
        <v>149</v>
      </c>
      <c r="F6" s="3" t="s">
        <v>20</v>
      </c>
      <c r="G6" s="3"/>
      <c r="H6" s="3">
        <v>7</v>
      </c>
      <c r="I6" s="3" t="s">
        <v>86</v>
      </c>
      <c r="J6" s="3" t="s">
        <v>150</v>
      </c>
    </row>
    <row r="7" spans="1:10" ht="15">
      <c r="A7" s="3">
        <v>2</v>
      </c>
      <c r="B7" s="5"/>
      <c r="C7" s="3" t="s">
        <v>151</v>
      </c>
      <c r="D7" s="3" t="s">
        <v>152</v>
      </c>
      <c r="E7" s="3" t="s">
        <v>153</v>
      </c>
      <c r="F7" s="3" t="s">
        <v>20</v>
      </c>
      <c r="G7" s="3"/>
      <c r="H7" s="3">
        <v>5</v>
      </c>
      <c r="I7" s="3" t="s">
        <v>86</v>
      </c>
      <c r="J7" s="3" t="s">
        <v>154</v>
      </c>
    </row>
    <row r="8" spans="1:10" ht="28.5">
      <c r="A8" s="3">
        <v>2</v>
      </c>
      <c r="B8" s="5"/>
      <c r="C8" s="3" t="s">
        <v>151</v>
      </c>
      <c r="D8" s="3" t="s">
        <v>155</v>
      </c>
      <c r="E8" s="3" t="s">
        <v>153</v>
      </c>
      <c r="F8" s="3" t="s">
        <v>20</v>
      </c>
      <c r="G8" s="3"/>
      <c r="H8" s="3">
        <v>5</v>
      </c>
      <c r="I8" s="3" t="s">
        <v>86</v>
      </c>
      <c r="J8" s="3" t="s">
        <v>156</v>
      </c>
    </row>
    <row r="9" spans="1:10" ht="14.25" customHeight="1">
      <c r="A9" s="3">
        <v>3</v>
      </c>
      <c r="B9" s="5"/>
      <c r="C9" s="3" t="s">
        <v>151</v>
      </c>
      <c r="D9" s="3" t="s">
        <v>157</v>
      </c>
      <c r="E9" s="3" t="s">
        <v>158</v>
      </c>
      <c r="F9" s="3" t="s">
        <v>20</v>
      </c>
      <c r="G9" s="3"/>
      <c r="H9" s="3">
        <v>6</v>
      </c>
      <c r="I9" s="3"/>
      <c r="J9" t="s">
        <v>235</v>
      </c>
    </row>
    <row r="10" spans="1:10" ht="15">
      <c r="A10" s="3">
        <v>3</v>
      </c>
      <c r="B10" s="5"/>
      <c r="C10" s="3" t="s">
        <v>147</v>
      </c>
      <c r="D10" s="3" t="s">
        <v>159</v>
      </c>
      <c r="E10" s="3" t="s">
        <v>160</v>
      </c>
      <c r="F10" s="3" t="s">
        <v>20</v>
      </c>
      <c r="G10" s="3"/>
      <c r="H10" s="3">
        <v>7</v>
      </c>
      <c r="I10" s="3" t="s">
        <v>86</v>
      </c>
      <c r="J10" s="3" t="s">
        <v>161</v>
      </c>
    </row>
    <row r="11" spans="1:10">
      <c r="A11" s="3">
        <v>8</v>
      </c>
      <c r="B11" s="5"/>
      <c r="C11" s="3" t="s">
        <v>162</v>
      </c>
      <c r="D11" s="3" t="s">
        <v>163</v>
      </c>
      <c r="E11" s="3" t="s">
        <v>164</v>
      </c>
      <c r="F11" s="3" t="s">
        <v>165</v>
      </c>
      <c r="G11" s="3"/>
      <c r="H11" s="3">
        <v>11</v>
      </c>
      <c r="I11" s="3" t="s">
        <v>103</v>
      </c>
      <c r="J11" s="3" t="s">
        <v>166</v>
      </c>
    </row>
    <row r="12" spans="1:10" ht="28.5">
      <c r="A12" s="3">
        <v>10</v>
      </c>
      <c r="B12" s="5"/>
      <c r="C12" s="3" t="s">
        <v>167</v>
      </c>
      <c r="D12" s="3" t="s">
        <v>168</v>
      </c>
      <c r="E12" s="3" t="s">
        <v>169</v>
      </c>
      <c r="F12" s="3" t="s">
        <v>165</v>
      </c>
      <c r="G12" s="3"/>
      <c r="H12" s="3">
        <v>14</v>
      </c>
      <c r="I12" s="3" t="s">
        <v>103</v>
      </c>
      <c r="J12" s="3" t="s">
        <v>170</v>
      </c>
    </row>
    <row r="13" spans="1:10">
      <c r="A13" s="3">
        <v>15</v>
      </c>
      <c r="B13" s="5"/>
      <c r="C13" s="3" t="s">
        <v>171</v>
      </c>
      <c r="D13" s="3" t="s">
        <v>172</v>
      </c>
      <c r="E13" s="3" t="s">
        <v>173</v>
      </c>
      <c r="F13" s="3" t="s">
        <v>165</v>
      </c>
      <c r="G13" s="3"/>
      <c r="H13" s="3">
        <v>18</v>
      </c>
      <c r="I13" s="3"/>
      <c r="J13" s="3"/>
    </row>
    <row r="14" spans="1:10">
      <c r="A14" s="3">
        <v>31</v>
      </c>
      <c r="B14" s="5"/>
      <c r="C14" s="3" t="s">
        <v>174</v>
      </c>
      <c r="D14" s="3" t="s">
        <v>175</v>
      </c>
      <c r="E14" s="3" t="s">
        <v>176</v>
      </c>
      <c r="F14" s="3" t="s">
        <v>165</v>
      </c>
      <c r="G14" s="3"/>
      <c r="H14" s="3">
        <v>35</v>
      </c>
      <c r="I14" s="3"/>
      <c r="J14" s="3"/>
    </row>
    <row r="15" spans="1:10">
      <c r="A15" s="3">
        <v>46</v>
      </c>
      <c r="B15" s="5"/>
      <c r="C15" s="3" t="s">
        <v>177</v>
      </c>
      <c r="D15" s="3" t="s">
        <v>178</v>
      </c>
      <c r="E15" s="3" t="s">
        <v>179</v>
      </c>
      <c r="F15" s="3" t="s">
        <v>165</v>
      </c>
      <c r="G15" s="3"/>
      <c r="H15" s="3">
        <v>50</v>
      </c>
      <c r="I15" s="3" t="s">
        <v>86</v>
      </c>
      <c r="J15" s="3"/>
    </row>
    <row r="16" spans="1:10">
      <c r="A16" s="3">
        <v>55</v>
      </c>
      <c r="B16" s="5"/>
      <c r="C16" s="3" t="s">
        <v>180</v>
      </c>
      <c r="D16" s="3" t="s">
        <v>181</v>
      </c>
      <c r="E16" s="3" t="s">
        <v>182</v>
      </c>
      <c r="F16" s="3" t="s">
        <v>165</v>
      </c>
      <c r="G16" s="3"/>
      <c r="H16" s="3">
        <v>57</v>
      </c>
      <c r="I16" s="3" t="s">
        <v>103</v>
      </c>
      <c r="J16" s="3"/>
    </row>
    <row r="17" spans="1:10">
      <c r="A17" s="3"/>
      <c r="B17" s="5"/>
      <c r="C17" s="3"/>
      <c r="D17" s="3"/>
      <c r="E17" s="3"/>
      <c r="F17" s="3"/>
      <c r="G17" s="3"/>
      <c r="H17" s="3"/>
      <c r="I17" s="3"/>
      <c r="J17" s="3"/>
    </row>
    <row r="18" spans="1:10">
      <c r="A18" s="3"/>
      <c r="B18" s="5"/>
      <c r="C18" s="3"/>
      <c r="D18" s="3"/>
      <c r="E18" s="3"/>
      <c r="F18" s="3"/>
      <c r="G18" s="3"/>
      <c r="H18" s="3"/>
      <c r="I18" s="3"/>
      <c r="J18" s="3"/>
    </row>
    <row r="19" spans="1:10">
      <c r="A19" s="3"/>
      <c r="B19" s="5"/>
      <c r="C19" s="3"/>
      <c r="D19" s="3"/>
      <c r="E19" s="3"/>
      <c r="F19" s="3"/>
      <c r="G19" s="3"/>
      <c r="H19" s="3"/>
      <c r="I19" s="3"/>
      <c r="J19" s="3"/>
    </row>
    <row r="20" spans="1:10">
      <c r="A20" s="3"/>
      <c r="B20" s="5"/>
      <c r="C20" s="3"/>
      <c r="D20" s="3"/>
      <c r="E20" s="3"/>
      <c r="F20" s="3"/>
      <c r="G20" s="3"/>
      <c r="H20" s="3"/>
      <c r="I20" s="3"/>
      <c r="J20" s="3"/>
    </row>
    <row r="21" spans="1:10">
      <c r="A21" s="3"/>
      <c r="B21" s="5"/>
      <c r="C21" s="3"/>
      <c r="D21" s="3"/>
      <c r="E21" s="3"/>
      <c r="F21" s="3"/>
      <c r="G21" s="3"/>
      <c r="H21" s="3"/>
      <c r="I21" s="3"/>
      <c r="J21" s="3"/>
    </row>
    <row r="22" spans="1:10">
      <c r="A22" s="3"/>
      <c r="B22" s="5"/>
      <c r="C22" s="3"/>
      <c r="D22" s="3"/>
      <c r="E22" s="3"/>
      <c r="F22" s="3"/>
      <c r="G22" s="3"/>
      <c r="H22" s="3"/>
      <c r="I22" s="3"/>
      <c r="J22" s="3"/>
    </row>
    <row r="23" spans="1:10">
      <c r="A23" s="3"/>
      <c r="B23" s="5"/>
      <c r="C23" s="3"/>
      <c r="D23" s="3"/>
      <c r="E23" s="3"/>
      <c r="F23" s="3"/>
      <c r="G23" s="3"/>
      <c r="H23" s="3"/>
      <c r="I23" s="3"/>
      <c r="J23" s="3"/>
    </row>
    <row r="24" spans="1:10">
      <c r="A24" s="3"/>
      <c r="B24" s="5"/>
      <c r="C24" s="3"/>
      <c r="D24" s="3"/>
      <c r="E24" s="3"/>
      <c r="F24" s="3"/>
      <c r="G24" s="3"/>
      <c r="H24" s="3"/>
      <c r="I24" s="3"/>
      <c r="J24" s="3"/>
    </row>
    <row r="25" spans="1:10">
      <c r="A25" s="3"/>
      <c r="B25" s="5"/>
      <c r="C25" s="3"/>
      <c r="D25" s="3"/>
      <c r="E25" s="3"/>
      <c r="F25" s="3"/>
      <c r="G25" s="3"/>
      <c r="H25" s="3"/>
      <c r="I25" s="3"/>
      <c r="J25" s="3"/>
    </row>
    <row r="26" spans="1:10">
      <c r="A26" s="3"/>
      <c r="B26" s="5"/>
      <c r="C26" s="3"/>
      <c r="D26" s="3"/>
      <c r="E26" s="3"/>
      <c r="F26" s="3"/>
      <c r="G26" s="3"/>
      <c r="H26" s="3"/>
      <c r="I26" s="3"/>
      <c r="J26" s="3"/>
    </row>
    <row r="27" spans="1:10">
      <c r="A27" s="3"/>
      <c r="B27" s="5"/>
      <c r="C27" s="3"/>
      <c r="D27" s="3"/>
      <c r="E27" s="3"/>
      <c r="F27" s="3"/>
      <c r="G27" s="3"/>
      <c r="H27" s="3"/>
      <c r="I27" s="3"/>
      <c r="J27" s="3"/>
    </row>
    <row r="28" spans="1:10">
      <c r="A28" s="3"/>
      <c r="B28" s="5"/>
      <c r="C28" s="3"/>
      <c r="D28" s="3"/>
      <c r="E28" s="3"/>
      <c r="F28" s="3"/>
      <c r="G28" s="3"/>
      <c r="H28" s="3"/>
      <c r="I28" s="3"/>
      <c r="J28" s="3"/>
    </row>
    <row r="29" spans="1:10">
      <c r="A29" s="3"/>
      <c r="B29" s="5"/>
      <c r="C29" s="3"/>
      <c r="D29" s="3"/>
      <c r="E29" s="3"/>
      <c r="F29" s="3"/>
      <c r="G29" s="3"/>
      <c r="H29" s="3"/>
      <c r="I29" s="3"/>
      <c r="J29" s="3"/>
    </row>
    <row r="30" spans="1:10">
      <c r="A30" s="3"/>
      <c r="B30" s="5"/>
      <c r="C30" s="3"/>
      <c r="D30" s="3"/>
      <c r="E30" s="3"/>
      <c r="F30" s="3"/>
      <c r="G30" s="3"/>
      <c r="H30" s="3"/>
      <c r="I30" s="3"/>
      <c r="J30" s="3"/>
    </row>
    <row r="31" spans="1:10">
      <c r="A31" s="3"/>
      <c r="B31" s="5"/>
      <c r="C31" s="3"/>
      <c r="D31" s="3"/>
      <c r="E31" s="3"/>
      <c r="F31" s="3"/>
      <c r="G31" s="3"/>
      <c r="H31" s="3"/>
      <c r="I31" s="3"/>
      <c r="J31" s="3"/>
    </row>
    <row r="32" spans="1:10">
      <c r="A32" s="3"/>
      <c r="B32" s="5"/>
      <c r="C32" s="3"/>
      <c r="D32" s="3"/>
      <c r="E32" s="3"/>
      <c r="F32" s="3"/>
      <c r="G32" s="3"/>
      <c r="H32" s="3"/>
      <c r="I32" s="3"/>
      <c r="J32" s="3"/>
    </row>
    <row r="33" spans="1:10">
      <c r="A33" s="3"/>
      <c r="B33" s="5"/>
      <c r="C33" s="3"/>
      <c r="D33" s="3"/>
      <c r="E33" s="3"/>
      <c r="F33" s="3"/>
      <c r="G33" s="3"/>
      <c r="H33" s="3"/>
      <c r="I33" s="3"/>
      <c r="J33" s="3"/>
    </row>
    <row r="34" spans="1:10">
      <c r="A34" s="3"/>
      <c r="B34" s="5"/>
      <c r="C34" s="3"/>
      <c r="D34" s="3"/>
      <c r="E34" s="3"/>
      <c r="F34" s="3"/>
      <c r="G34" s="3"/>
      <c r="H34" s="3"/>
      <c r="I34" s="3"/>
      <c r="J34" s="3"/>
    </row>
    <row r="35" spans="1:10">
      <c r="A35" s="3"/>
      <c r="B35" s="5"/>
      <c r="C35" s="3"/>
      <c r="D35" s="3"/>
      <c r="E35" s="3"/>
      <c r="F35" s="3"/>
      <c r="G35" s="3"/>
      <c r="H35" s="3"/>
      <c r="I35" s="3"/>
      <c r="J35" s="3"/>
    </row>
    <row r="36" spans="1:10">
      <c r="A36" s="3"/>
      <c r="B36" s="5"/>
      <c r="C36" s="3"/>
      <c r="D36" s="3"/>
      <c r="E36" s="3"/>
      <c r="F36" s="3"/>
      <c r="G36" s="3"/>
      <c r="H36" s="3"/>
      <c r="I36" s="3"/>
      <c r="J36" s="3"/>
    </row>
    <row r="37" spans="1:10">
      <c r="A37" s="3"/>
      <c r="B37" s="5"/>
      <c r="C37" s="3"/>
      <c r="D37" s="3"/>
      <c r="E37" s="3"/>
      <c r="F37" s="3"/>
      <c r="G37" s="3"/>
      <c r="H37" s="3"/>
      <c r="I37" s="3"/>
      <c r="J37" s="3"/>
    </row>
    <row r="38" spans="1:10">
      <c r="A38" s="3"/>
      <c r="B38" s="5"/>
      <c r="C38" s="3"/>
      <c r="D38" s="3"/>
      <c r="E38" s="3"/>
      <c r="F38" s="3"/>
      <c r="G38" s="3"/>
      <c r="H38" s="3"/>
      <c r="I38" s="3"/>
      <c r="J38" s="3"/>
    </row>
    <row r="39" spans="1:10">
      <c r="A39" s="3"/>
      <c r="B39" s="5"/>
      <c r="C39" s="3"/>
      <c r="D39" s="3"/>
      <c r="E39" s="3"/>
      <c r="F39" s="3"/>
      <c r="G39" s="3"/>
      <c r="H39" s="3"/>
      <c r="I39" s="3"/>
      <c r="J39" s="3"/>
    </row>
    <row r="40" spans="1:10">
      <c r="A40" s="3"/>
      <c r="B40" s="5"/>
      <c r="C40" s="3"/>
      <c r="D40" s="3"/>
      <c r="E40" s="3"/>
      <c r="F40" s="3"/>
      <c r="G40" s="3"/>
      <c r="H40" s="3"/>
      <c r="I40" s="3"/>
      <c r="J40" s="3"/>
    </row>
    <row r="41" spans="1:10">
      <c r="A41" s="3"/>
      <c r="B41" s="5"/>
      <c r="C41" s="3"/>
      <c r="D41" s="3"/>
      <c r="E41" s="3"/>
      <c r="F41" s="3"/>
      <c r="G41" s="3"/>
      <c r="H41" s="3"/>
      <c r="I41" s="3"/>
      <c r="J41" s="3"/>
    </row>
    <row r="42" spans="1:10">
      <c r="A42" s="3"/>
      <c r="B42" s="5"/>
      <c r="C42" s="3"/>
      <c r="D42" s="3"/>
      <c r="E42" s="3"/>
      <c r="F42" s="3"/>
      <c r="G42" s="3"/>
      <c r="H42" s="3"/>
      <c r="I42" s="3"/>
      <c r="J42" s="3"/>
    </row>
    <row r="43" spans="1:10">
      <c r="A43" s="3"/>
      <c r="B43" s="5"/>
      <c r="C43" s="3"/>
      <c r="D43" s="3"/>
      <c r="E43" s="3"/>
      <c r="F43" s="3"/>
      <c r="G43" s="3"/>
      <c r="H43" s="3"/>
      <c r="I43" s="3"/>
      <c r="J43" s="3"/>
    </row>
    <row r="44" spans="1:10">
      <c r="A44" s="3"/>
      <c r="B44" s="5"/>
      <c r="C44" s="3"/>
      <c r="D44" s="3"/>
      <c r="E44" s="3"/>
      <c r="F44" s="3"/>
      <c r="G44" s="3"/>
      <c r="H44" s="3"/>
      <c r="I44" s="3"/>
      <c r="J44" s="3"/>
    </row>
    <row r="45" spans="1:10">
      <c r="A45" s="3"/>
      <c r="B45" s="5"/>
      <c r="C45" s="3"/>
      <c r="D45" s="3"/>
      <c r="E45" s="3"/>
      <c r="F45" s="3"/>
      <c r="G45" s="3"/>
      <c r="H45" s="3"/>
      <c r="I45" s="3"/>
      <c r="J45" s="3"/>
    </row>
    <row r="46" spans="1:10">
      <c r="A46" s="3"/>
      <c r="B46" s="5"/>
      <c r="C46" s="3"/>
      <c r="D46" s="3"/>
      <c r="E46" s="3"/>
      <c r="F46" s="3"/>
      <c r="G46" s="3"/>
      <c r="H46" s="3"/>
      <c r="I46" s="3"/>
      <c r="J46" s="3"/>
    </row>
    <row r="47" spans="1:10">
      <c r="A47" s="3"/>
      <c r="B47" s="5"/>
      <c r="C47" s="3"/>
      <c r="D47" s="3"/>
      <c r="E47" s="3"/>
      <c r="F47" s="3"/>
      <c r="G47" s="3"/>
      <c r="H47" s="3"/>
      <c r="I47" s="3"/>
      <c r="J47" s="3"/>
    </row>
    <row r="48" spans="1:10">
      <c r="A48" s="3"/>
      <c r="B48" s="5"/>
      <c r="C48" s="3"/>
      <c r="D48" s="3"/>
      <c r="E48" s="3"/>
      <c r="F48" s="3"/>
      <c r="G48" s="3"/>
      <c r="H48" s="3"/>
      <c r="I48" s="3"/>
      <c r="J48" s="3"/>
    </row>
    <row r="49" spans="1:10">
      <c r="A49" s="3"/>
      <c r="B49" s="5"/>
      <c r="C49" s="3"/>
      <c r="D49" s="3"/>
      <c r="E49" s="3"/>
      <c r="F49" s="3"/>
      <c r="G49" s="3"/>
      <c r="H49" s="3"/>
      <c r="I49" s="3"/>
      <c r="J49" s="3"/>
    </row>
    <row r="50" spans="1:10">
      <c r="A50" s="3"/>
      <c r="B50" s="5"/>
      <c r="C50" s="3"/>
      <c r="D50" s="3"/>
      <c r="E50" s="3"/>
      <c r="F50" s="3"/>
      <c r="G50" s="3"/>
      <c r="H50" s="3"/>
      <c r="I50" s="3"/>
      <c r="J50" s="3"/>
    </row>
    <row r="51" spans="1:10">
      <c r="A51" s="3"/>
      <c r="B51" s="5"/>
      <c r="C51" s="3"/>
      <c r="D51" s="3"/>
      <c r="E51" s="3"/>
      <c r="F51" s="3"/>
      <c r="G51" s="3"/>
      <c r="H51" s="3"/>
      <c r="I51" s="3"/>
      <c r="J51" s="3"/>
    </row>
    <row r="52" spans="1:10">
      <c r="A52" s="3"/>
      <c r="B52" s="5"/>
      <c r="C52" s="3"/>
      <c r="D52" s="3"/>
      <c r="E52" s="3"/>
      <c r="F52" s="3"/>
      <c r="G52" s="3"/>
      <c r="H52" s="3"/>
      <c r="I52" s="3"/>
      <c r="J52" s="3"/>
    </row>
    <row r="53" spans="1:10">
      <c r="A53" s="3"/>
      <c r="B53" s="5"/>
      <c r="C53" s="3"/>
      <c r="D53" s="3"/>
      <c r="E53" s="3"/>
      <c r="F53" s="3"/>
      <c r="G53" s="3"/>
      <c r="H53" s="3"/>
      <c r="I53" s="3"/>
      <c r="J53" s="3"/>
    </row>
    <row r="54" spans="1:10">
      <c r="A54" s="3"/>
      <c r="B54" s="5"/>
      <c r="C54" s="3"/>
      <c r="D54" s="3"/>
      <c r="E54" s="3"/>
      <c r="F54" s="3"/>
      <c r="G54" s="3"/>
      <c r="H54" s="3"/>
      <c r="I54" s="3"/>
      <c r="J54" s="3"/>
    </row>
    <row r="55" spans="1:10">
      <c r="A55" s="3"/>
      <c r="B55" s="5"/>
      <c r="C55" s="3"/>
      <c r="D55" s="3"/>
      <c r="E55" s="3"/>
      <c r="F55" s="3"/>
      <c r="G55" s="3"/>
      <c r="H55" s="3"/>
      <c r="I55" s="3"/>
      <c r="J55" s="3"/>
    </row>
    <row r="56" spans="1:10">
      <c r="A56" s="3"/>
      <c r="B56" s="5"/>
      <c r="C56" s="3"/>
      <c r="D56" s="3"/>
      <c r="E56" s="3"/>
      <c r="F56" s="3"/>
      <c r="G56" s="3"/>
      <c r="H56" s="3"/>
      <c r="I56" s="3"/>
      <c r="J56" s="3"/>
    </row>
    <row r="57" spans="1:10">
      <c r="A57" s="3"/>
      <c r="B57" s="5"/>
      <c r="C57" s="3"/>
      <c r="D57" s="3"/>
      <c r="E57" s="3"/>
      <c r="F57" s="3"/>
      <c r="G57" s="3"/>
      <c r="H57" s="3"/>
      <c r="I57" s="3"/>
      <c r="J57" s="3"/>
    </row>
    <row r="58" spans="1:10">
      <c r="A58" s="3"/>
      <c r="B58" s="5"/>
      <c r="C58" s="3"/>
      <c r="D58" s="3"/>
      <c r="E58" s="3"/>
      <c r="F58" s="3"/>
      <c r="G58" s="3"/>
      <c r="H58" s="3"/>
      <c r="I58" s="3"/>
      <c r="J58" s="3"/>
    </row>
    <row r="59" spans="1:10">
      <c r="A59" s="3"/>
      <c r="B59" s="5"/>
      <c r="C59" s="3"/>
      <c r="D59" s="3"/>
      <c r="E59" s="3"/>
      <c r="F59" s="3"/>
      <c r="G59" s="3"/>
      <c r="H59" s="3"/>
      <c r="I59" s="3"/>
      <c r="J59" s="3"/>
    </row>
    <row r="60" spans="1:10">
      <c r="A60" s="3"/>
      <c r="B60" s="5"/>
      <c r="C60" s="3"/>
      <c r="D60" s="3"/>
      <c r="E60" s="3"/>
      <c r="F60" s="3"/>
      <c r="G60" s="3"/>
      <c r="H60" s="3"/>
      <c r="I60" s="3"/>
      <c r="J60" s="3"/>
    </row>
    <row r="61" spans="1:10">
      <c r="A61" s="3"/>
      <c r="B61" s="5"/>
      <c r="C61" s="3"/>
      <c r="D61" s="3"/>
      <c r="E61" s="3"/>
      <c r="F61" s="3"/>
      <c r="G61" s="3"/>
      <c r="H61" s="3"/>
      <c r="I61" s="3"/>
      <c r="J61" s="3"/>
    </row>
    <row r="62" spans="1:10">
      <c r="A62" s="3"/>
      <c r="B62" s="5"/>
      <c r="C62" s="3"/>
      <c r="D62" s="3"/>
      <c r="E62" s="3"/>
      <c r="F62" s="3"/>
      <c r="G62" s="3"/>
      <c r="H62" s="3"/>
      <c r="I62" s="3"/>
      <c r="J62" s="3"/>
    </row>
    <row r="63" spans="1:10">
      <c r="A63" s="3"/>
      <c r="B63" s="5"/>
      <c r="C63" s="3"/>
      <c r="D63" s="3"/>
      <c r="E63" s="3"/>
      <c r="F63" s="3"/>
      <c r="G63" s="3"/>
      <c r="H63" s="3"/>
      <c r="I63" s="3"/>
      <c r="J63" s="3"/>
    </row>
    <row r="64" spans="1:10">
      <c r="A64" s="3"/>
      <c r="B64" s="5"/>
      <c r="C64" s="3"/>
      <c r="D64" s="3"/>
      <c r="E64" s="3"/>
      <c r="F64" s="3"/>
      <c r="G64" s="3"/>
      <c r="H64" s="3"/>
      <c r="I64" s="3"/>
      <c r="J64" s="3"/>
    </row>
  </sheetData>
  <mergeCells count="1">
    <mergeCell ref="A1:J2"/>
  </mergeCells>
  <conditionalFormatting sqref="F5:F64">
    <cfRule type="expression" dxfId="1" priority="1">
      <formula>F5="Completed"</formula>
    </cfRule>
    <cfRule type="expression" dxfId="0" priority="2">
      <formula>F5="Blocked"</formula>
    </cfRule>
  </conditionalFormatting>
  <dataValidations count="4">
    <dataValidation type="list" sqref="C5:C64" xr:uid="{00000000-0002-0000-0300-000000000000}">
      <formula1>"Setup,Python,NumPy,Pandas,Visualization,Machine Learning,Project,Git/GitHub,DBMS,OOP,OS,CN,Resume,LinkedIn,Deployment,Mock Interview,Applications"</formula1>
    </dataValidation>
    <dataValidation type="list" sqref="F5:F64" xr:uid="{00000000-0002-0000-0300-000001000000}">
      <formula1>"Planned,In Progress,Completed,Needs Revision,Blocked"</formula1>
    </dataValidation>
    <dataValidation type="list" sqref="G5:G64" xr:uid="{00000000-0002-0000-0300-000002000000}">
      <formula1>"1,2,3,4,5"</formula1>
    </dataValidation>
    <dataValidation type="list" sqref="I5:I64" xr:uid="{00000000-0002-0000-0300-000003000000}">
      <formula1>"Yes,No,N/A"</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5"/>
  <sheetViews>
    <sheetView workbookViewId="0">
      <selection sqref="A1:H2"/>
    </sheetView>
  </sheetViews>
  <sheetFormatPr defaultRowHeight="14.25"/>
  <cols>
    <col min="1" max="1" width="15" customWidth="1"/>
    <col min="2" max="2" width="10" customWidth="1"/>
    <col min="3" max="3" width="30" customWidth="1"/>
    <col min="4" max="5" width="32" customWidth="1"/>
    <col min="6" max="6" width="31" customWidth="1"/>
    <col min="7" max="7" width="12" customWidth="1"/>
    <col min="8" max="8" width="25" customWidth="1"/>
  </cols>
  <sheetData>
    <row r="1" spans="1:8">
      <c r="A1" s="14" t="s">
        <v>183</v>
      </c>
      <c r="B1" s="14"/>
      <c r="C1" s="14"/>
      <c r="D1" s="14"/>
      <c r="E1" s="14"/>
      <c r="F1" s="14"/>
      <c r="G1" s="14"/>
      <c r="H1" s="14"/>
    </row>
    <row r="2" spans="1:8">
      <c r="A2" s="14"/>
      <c r="B2" s="14"/>
      <c r="C2" s="14"/>
      <c r="D2" s="14"/>
      <c r="E2" s="14"/>
      <c r="F2" s="14"/>
      <c r="G2" s="14"/>
      <c r="H2" s="14"/>
    </row>
    <row r="4" spans="1:8" ht="15">
      <c r="A4" s="1" t="s">
        <v>35</v>
      </c>
      <c r="B4" s="1" t="s">
        <v>25</v>
      </c>
      <c r="C4" s="1" t="s">
        <v>184</v>
      </c>
      <c r="D4" s="1" t="s">
        <v>185</v>
      </c>
      <c r="E4" s="1" t="s">
        <v>186</v>
      </c>
      <c r="F4" s="1" t="s">
        <v>187</v>
      </c>
      <c r="G4" s="1" t="s">
        <v>188</v>
      </c>
      <c r="H4" s="1" t="s">
        <v>189</v>
      </c>
    </row>
    <row r="5" spans="1:8" ht="42.75">
      <c r="A5" s="3" t="s">
        <v>46</v>
      </c>
      <c r="B5" s="3" t="s">
        <v>190</v>
      </c>
      <c r="C5" s="3" t="s">
        <v>191</v>
      </c>
      <c r="D5" s="3" t="s">
        <v>192</v>
      </c>
      <c r="E5" s="3" t="s">
        <v>193</v>
      </c>
      <c r="F5" s="3" t="s">
        <v>194</v>
      </c>
      <c r="G5" s="3">
        <v>14</v>
      </c>
      <c r="H5" s="3" t="s">
        <v>195</v>
      </c>
    </row>
    <row r="6" spans="1:8" ht="28.5">
      <c r="A6" s="3" t="s">
        <v>65</v>
      </c>
      <c r="B6" s="3" t="s">
        <v>196</v>
      </c>
      <c r="C6" s="3" t="s">
        <v>197</v>
      </c>
      <c r="D6" s="3" t="s">
        <v>198</v>
      </c>
      <c r="E6" s="3" t="s">
        <v>199</v>
      </c>
      <c r="F6" s="3" t="s">
        <v>200</v>
      </c>
      <c r="G6" s="3">
        <v>30</v>
      </c>
      <c r="H6" s="3" t="s">
        <v>201</v>
      </c>
    </row>
    <row r="7" spans="1:8" ht="28.5">
      <c r="A7" s="3" t="s">
        <v>66</v>
      </c>
      <c r="B7" s="3" t="s">
        <v>202</v>
      </c>
      <c r="C7" s="3" t="s">
        <v>203</v>
      </c>
      <c r="D7" s="3" t="s">
        <v>204</v>
      </c>
      <c r="E7" s="3" t="s">
        <v>205</v>
      </c>
      <c r="F7" s="3" t="s">
        <v>206</v>
      </c>
      <c r="G7" s="3">
        <v>45</v>
      </c>
      <c r="H7" s="3" t="s">
        <v>207</v>
      </c>
    </row>
    <row r="8" spans="1:8" ht="28.5">
      <c r="A8" s="3" t="s">
        <v>67</v>
      </c>
      <c r="B8" s="3" t="s">
        <v>208</v>
      </c>
      <c r="C8" s="3" t="s">
        <v>209</v>
      </c>
      <c r="D8" s="3" t="s">
        <v>210</v>
      </c>
      <c r="E8" s="3" t="s">
        <v>211</v>
      </c>
      <c r="F8" s="3" t="s">
        <v>212</v>
      </c>
      <c r="G8" s="3">
        <v>60</v>
      </c>
      <c r="H8" s="3" t="s">
        <v>213</v>
      </c>
    </row>
    <row r="10" spans="1:8" ht="15.75">
      <c r="A10" s="12" t="s">
        <v>214</v>
      </c>
      <c r="B10" s="12"/>
      <c r="C10" s="12"/>
      <c r="D10" s="12"/>
      <c r="E10" s="12"/>
      <c r="F10" s="12"/>
      <c r="G10" s="12"/>
      <c r="H10" s="12"/>
    </row>
    <row r="11" spans="1:8" ht="71.25">
      <c r="A11" s="4" t="s">
        <v>22</v>
      </c>
      <c r="B11" s="2" t="s">
        <v>215</v>
      </c>
      <c r="C11" s="4" t="s">
        <v>23</v>
      </c>
      <c r="D11" s="2" t="s">
        <v>216</v>
      </c>
    </row>
    <row r="12" spans="1:8" ht="85.5">
      <c r="A12" s="4" t="s">
        <v>174</v>
      </c>
      <c r="B12" s="2" t="s">
        <v>217</v>
      </c>
      <c r="C12" s="4" t="s">
        <v>218</v>
      </c>
      <c r="D12" s="2" t="s">
        <v>219</v>
      </c>
    </row>
    <row r="13" spans="1:8" ht="71.25">
      <c r="A13" s="4" t="s">
        <v>220</v>
      </c>
      <c r="B13" s="2" t="s">
        <v>221</v>
      </c>
      <c r="C13" s="4" t="s">
        <v>222</v>
      </c>
      <c r="D13" s="2" t="s">
        <v>223</v>
      </c>
    </row>
    <row r="15" spans="1:8" ht="48" customHeight="1">
      <c r="A15" s="15" t="s">
        <v>224</v>
      </c>
      <c r="B15" s="15"/>
      <c r="C15" s="15"/>
      <c r="D15" s="15"/>
      <c r="E15" s="15"/>
      <c r="F15" s="15"/>
      <c r="G15" s="15"/>
      <c r="H15" s="15"/>
    </row>
  </sheetData>
  <mergeCells count="3">
    <mergeCell ref="A1:H2"/>
    <mergeCell ref="A10:H10"/>
    <mergeCell ref="A15:H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Daily Tracker</vt:lpstr>
      <vt:lpstr>Practice Log</vt:lpstr>
      <vt:lpstr>Skills &amp; Project</vt:lpstr>
      <vt:lpstr>Roadmap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GARVIT - 123177166 - MITBLR</cp:lastModifiedBy>
  <dcterms:modified xsi:type="dcterms:W3CDTF">2026-06-11T11:17:11Z</dcterms:modified>
</cp:coreProperties>
</file>